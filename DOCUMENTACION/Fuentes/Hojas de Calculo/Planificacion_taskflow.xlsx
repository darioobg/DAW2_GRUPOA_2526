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W02\Proyectos\"/>
    </mc:Choice>
  </mc:AlternateContent>
  <xr:revisionPtr revIDLastSave="0" documentId="8_{3AF45A57-56B1-402B-B89D-CF53755A4F22}" xr6:coauthVersionLast="47" xr6:coauthVersionMax="47" xr10:uidLastSave="{00000000-0000-0000-0000-000000000000}"/>
  <bookViews>
    <workbookView xWindow="-110" yWindow="-110" windowWidth="19420" windowHeight="9800" xr2:uid="{22B76A10-9362-43FE-88B7-52533E08B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K3" i="1"/>
  <c r="K4" i="1" s="1"/>
  <c r="I12" i="1" s="1"/>
  <c r="E11" i="1"/>
  <c r="E13" i="1" s="1"/>
  <c r="I13" i="1" s="1"/>
  <c r="D7" i="1"/>
  <c r="F4" i="1"/>
  <c r="F5" i="1"/>
  <c r="F6" i="1"/>
  <c r="F3" i="1"/>
  <c r="F7" i="1" l="1"/>
  <c r="I11" i="1" s="1"/>
  <c r="I14" i="1" s="1"/>
  <c r="I15" i="1" l="1"/>
  <c r="I16" i="1" s="1"/>
</calcChain>
</file>

<file path=xl/sharedStrings.xml><?xml version="1.0" encoding="utf-8"?>
<sst xmlns="http://schemas.openxmlformats.org/spreadsheetml/2006/main" count="40" uniqueCount="31">
  <si>
    <t>Rol </t>
  </si>
  <si>
    <t>Nº personas </t>
  </si>
  <si>
    <t>Coste total </t>
  </si>
  <si>
    <t>Coordinador/ Desarrollador </t>
  </si>
  <si>
    <t>1 </t>
  </si>
  <si>
    <t>Desarrollador 1 </t>
  </si>
  <si>
    <t>Desarrollador 2 </t>
  </si>
  <si>
    <t>Desarrollador 3 </t>
  </si>
  <si>
    <t>Total recursos humanos </t>
  </si>
  <si>
    <t>4 </t>
  </si>
  <si>
    <t>Coste hora (€ )</t>
  </si>
  <si>
    <t>Horas totales (H)</t>
  </si>
  <si>
    <r>
      <t>Table. Cálculo del costo total, coste hora estimado:</t>
    </r>
    <r>
      <rPr>
        <sz val="12"/>
        <color rgb="FF000000"/>
        <rFont val="Aptos"/>
        <family val="2"/>
      </rPr>
      <t> 20 €/hora  </t>
    </r>
  </si>
  <si>
    <r>
      <t>Tabla. Cálculo del costo total en software</t>
    </r>
    <r>
      <rPr>
        <sz val="12"/>
        <color rgb="FF000000"/>
        <rFont val="Aptos"/>
        <family val="2"/>
      </rPr>
      <t> </t>
    </r>
  </si>
  <si>
    <t>Concepto </t>
  </si>
  <si>
    <t>Cantidad </t>
  </si>
  <si>
    <t>Coste unitario </t>
  </si>
  <si>
    <t>Software de desarrollo (IDE, utilidades) </t>
  </si>
  <si>
    <t>Total software </t>
  </si>
  <si>
    <r>
      <t>Tabla. Cálculo del costo total en equipamiento y mobiliario</t>
    </r>
    <r>
      <rPr>
        <sz val="12"/>
        <color rgb="FF000000"/>
        <rFont val="Aptos"/>
        <family val="2"/>
      </rPr>
      <t> </t>
    </r>
  </si>
  <si>
    <t>Puesto informático completo (PC + periféricos) </t>
  </si>
  <si>
    <t>Mobiliario de oficina (mesa + silla) </t>
  </si>
  <si>
    <t>Total equipamiento y mobiliario </t>
  </si>
  <si>
    <r>
      <t>Tabla. Cálculo del presupuesto total</t>
    </r>
    <r>
      <rPr>
        <sz val="12"/>
        <color rgb="FF000000"/>
        <rFont val="Aptos"/>
        <family val="2"/>
      </rPr>
      <t> </t>
    </r>
  </si>
  <si>
    <t>Coste </t>
  </si>
  <si>
    <t>Recursos humanos </t>
  </si>
  <si>
    <t>Software </t>
  </si>
  <si>
    <t>Equipamiento y mobiliario </t>
  </si>
  <si>
    <t>PRESUPUESTO TOTAL DEL PROYECTO </t>
  </si>
  <si>
    <t>Contingencias</t>
  </si>
  <si>
    <t>Presupuesto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</si>
</sst>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_-* #,##0.00\ [$€-C0A]_-;\-* #,##0.00\ [$€-C0A]_-;_-* &quot;-&quot;??\ [$€-C0A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164" fontId="4" fillId="2" borderId="1" xfId="1" applyNumberFormat="1" applyFont="1" applyFill="1" applyBorder="1" applyAlignment="1">
      <alignment horizontal="justify" vertical="center" wrapText="1"/>
    </xf>
    <xf numFmtId="164" fontId="5" fillId="2" borderId="1" xfId="1" applyNumberFormat="1" applyFont="1" applyFill="1" applyBorder="1" applyAlignment="1">
      <alignment horizontal="justify" vertical="center" wrapText="1"/>
    </xf>
    <xf numFmtId="165" fontId="4" fillId="2" borderId="1" xfId="0" applyNumberFormat="1" applyFont="1" applyFill="1" applyBorder="1" applyAlignment="1">
      <alignment horizontal="justify" vertical="center" wrapText="1"/>
    </xf>
    <xf numFmtId="165" fontId="4" fillId="2" borderId="1" xfId="1" applyNumberFormat="1" applyFont="1" applyFill="1" applyBorder="1" applyAlignment="1">
      <alignment horizontal="justify" vertical="center" wrapText="1"/>
    </xf>
    <xf numFmtId="164" fontId="5" fillId="2" borderId="1" xfId="0" applyNumberFormat="1" applyFont="1" applyFill="1" applyBorder="1" applyAlignment="1">
      <alignment horizontal="justify" vertical="center" wrapText="1"/>
    </xf>
    <xf numFmtId="164" fontId="4" fillId="2" borderId="1" xfId="1" applyNumberFormat="1" applyFont="1" applyFill="1" applyBorder="1" applyAlignment="1">
      <alignment horizontal="left" vertical="center" wrapText="1" indent="2"/>
    </xf>
    <xf numFmtId="164" fontId="0" fillId="0" borderId="1" xfId="1" applyNumberFormat="1" applyFont="1" applyBorder="1"/>
    <xf numFmtId="164" fontId="6" fillId="0" borderId="1" xfId="1" applyNumberFormat="1" applyFont="1" applyBorder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2DAC-E570-45F9-89E1-0CCEDCD23008}">
  <dimension ref="B1:K16"/>
  <sheetViews>
    <sheetView tabSelected="1" workbookViewId="0">
      <selection activeCell="I11" sqref="I11:I16"/>
    </sheetView>
  </sheetViews>
  <sheetFormatPr baseColWidth="10" defaultRowHeight="14.5" x14ac:dyDescent="0.35"/>
  <cols>
    <col min="2" max="2" width="22.81640625" customWidth="1"/>
    <col min="5" max="5" width="13.6328125" customWidth="1"/>
    <col min="6" max="6" width="15.453125" bestFit="1" customWidth="1"/>
    <col min="8" max="8" width="39.36328125" customWidth="1"/>
    <col min="9" max="9" width="12.81640625" customWidth="1"/>
  </cols>
  <sheetData>
    <row r="1" spans="2:11" ht="80" customHeight="1" x14ac:dyDescent="0.35">
      <c r="B1" s="12" t="s">
        <v>12</v>
      </c>
      <c r="C1" s="12"/>
      <c r="D1" s="12"/>
      <c r="E1" s="12"/>
      <c r="F1" s="12"/>
      <c r="H1" s="11" t="s">
        <v>13</v>
      </c>
      <c r="I1" s="11"/>
      <c r="J1" s="11"/>
      <c r="K1" s="11"/>
    </row>
    <row r="2" spans="2:11" ht="48" x14ac:dyDescent="0.35">
      <c r="B2" s="2" t="s">
        <v>0</v>
      </c>
      <c r="C2" s="2" t="s">
        <v>1</v>
      </c>
      <c r="D2" s="2" t="s">
        <v>11</v>
      </c>
      <c r="E2" s="2" t="s">
        <v>10</v>
      </c>
      <c r="F2" s="2" t="s">
        <v>2</v>
      </c>
      <c r="H2" s="2" t="s">
        <v>14</v>
      </c>
      <c r="I2" s="2" t="s">
        <v>15</v>
      </c>
      <c r="J2" s="2" t="s">
        <v>16</v>
      </c>
      <c r="K2" s="2" t="s">
        <v>2</v>
      </c>
    </row>
    <row r="3" spans="2:11" ht="32" x14ac:dyDescent="0.35">
      <c r="B3" s="2" t="s">
        <v>3</v>
      </c>
      <c r="C3" s="1" t="s">
        <v>4</v>
      </c>
      <c r="D3" s="1">
        <v>85</v>
      </c>
      <c r="E3" s="3">
        <v>20</v>
      </c>
      <c r="F3" s="3">
        <f>D3*E3</f>
        <v>1700</v>
      </c>
      <c r="H3" s="2" t="s">
        <v>17</v>
      </c>
      <c r="I3" s="1">
        <v>4</v>
      </c>
      <c r="J3" s="3">
        <v>60</v>
      </c>
      <c r="K3" s="3">
        <f>I3*J3</f>
        <v>240</v>
      </c>
    </row>
    <row r="4" spans="2:11" ht="16" x14ac:dyDescent="0.35">
      <c r="B4" s="2" t="s">
        <v>5</v>
      </c>
      <c r="C4" s="1" t="s">
        <v>4</v>
      </c>
      <c r="D4" s="1">
        <v>86</v>
      </c>
      <c r="E4" s="3">
        <v>20</v>
      </c>
      <c r="F4" s="3">
        <f>D4*E4</f>
        <v>1720</v>
      </c>
      <c r="H4" s="2" t="s">
        <v>18</v>
      </c>
      <c r="I4" s="1"/>
      <c r="J4" s="1"/>
      <c r="K4" s="7">
        <f>K3</f>
        <v>240</v>
      </c>
    </row>
    <row r="5" spans="2:11" ht="16" x14ac:dyDescent="0.35">
      <c r="B5" s="2" t="s">
        <v>6</v>
      </c>
      <c r="C5" s="1" t="s">
        <v>4</v>
      </c>
      <c r="D5" s="1">
        <v>83</v>
      </c>
      <c r="E5" s="3">
        <v>20</v>
      </c>
      <c r="F5" s="3">
        <f t="shared" ref="F5:F6" si="0">D5*E5</f>
        <v>1660</v>
      </c>
    </row>
    <row r="6" spans="2:11" ht="16" x14ac:dyDescent="0.35">
      <c r="B6" s="2" t="s">
        <v>7</v>
      </c>
      <c r="C6" s="1" t="s">
        <v>4</v>
      </c>
      <c r="D6" s="1">
        <v>90</v>
      </c>
      <c r="E6" s="3">
        <v>20</v>
      </c>
      <c r="F6" s="3">
        <f t="shared" si="0"/>
        <v>1800</v>
      </c>
    </row>
    <row r="7" spans="2:11" ht="32" x14ac:dyDescent="0.35">
      <c r="B7" s="2" t="s">
        <v>8</v>
      </c>
      <c r="C7" s="1" t="s">
        <v>9</v>
      </c>
      <c r="D7" s="2">
        <f>SUM(D3:D6)</f>
        <v>344</v>
      </c>
      <c r="E7" s="1"/>
      <c r="F7" s="4">
        <f>SUM(F3:F6)</f>
        <v>6880</v>
      </c>
    </row>
    <row r="9" spans="2:11" ht="64" customHeight="1" x14ac:dyDescent="0.35">
      <c r="B9" s="11" t="s">
        <v>19</v>
      </c>
      <c r="C9" s="11"/>
      <c r="D9" s="11"/>
      <c r="E9" s="11"/>
      <c r="H9" s="11" t="s">
        <v>23</v>
      </c>
      <c r="I9" s="11"/>
    </row>
    <row r="10" spans="2:11" ht="32" x14ac:dyDescent="0.35">
      <c r="B10" s="2" t="s">
        <v>14</v>
      </c>
      <c r="C10" s="2" t="s">
        <v>15</v>
      </c>
      <c r="D10" s="2" t="s">
        <v>16</v>
      </c>
      <c r="E10" s="2" t="s">
        <v>2</v>
      </c>
      <c r="H10" s="2" t="s">
        <v>14</v>
      </c>
      <c r="I10" s="2" t="s">
        <v>24</v>
      </c>
    </row>
    <row r="11" spans="2:11" ht="48" x14ac:dyDescent="0.35">
      <c r="B11" s="2" t="s">
        <v>20</v>
      </c>
      <c r="C11" s="1">
        <v>4</v>
      </c>
      <c r="D11" s="6">
        <v>950</v>
      </c>
      <c r="E11" s="3">
        <f>C11*D11</f>
        <v>3800</v>
      </c>
      <c r="H11" s="2" t="s">
        <v>25</v>
      </c>
      <c r="I11" s="3">
        <f>F7</f>
        <v>6880</v>
      </c>
    </row>
    <row r="12" spans="2:11" ht="32" x14ac:dyDescent="0.35">
      <c r="B12" s="2" t="s">
        <v>21</v>
      </c>
      <c r="C12" s="1">
        <v>4</v>
      </c>
      <c r="D12" s="5">
        <v>420</v>
      </c>
      <c r="E12" s="3">
        <f>C12*D12</f>
        <v>1680</v>
      </c>
      <c r="H12" s="2" t="s">
        <v>26</v>
      </c>
      <c r="I12" s="8">
        <f>K4</f>
        <v>240</v>
      </c>
    </row>
    <row r="13" spans="2:11" ht="32" x14ac:dyDescent="0.35">
      <c r="B13" s="2" t="s">
        <v>22</v>
      </c>
      <c r="C13" s="1"/>
      <c r="D13" s="1"/>
      <c r="E13" s="4">
        <f>E11+E12</f>
        <v>5480</v>
      </c>
      <c r="H13" s="2" t="s">
        <v>27</v>
      </c>
      <c r="I13" s="3">
        <f>E13</f>
        <v>5480</v>
      </c>
    </row>
    <row r="14" spans="2:11" ht="16" x14ac:dyDescent="0.35">
      <c r="H14" s="2" t="s">
        <v>30</v>
      </c>
      <c r="I14" s="3">
        <f>SUM(I11:I13)</f>
        <v>12600</v>
      </c>
    </row>
    <row r="15" spans="2:11" ht="16" x14ac:dyDescent="0.35">
      <c r="H15" s="2" t="s">
        <v>29</v>
      </c>
      <c r="I15" s="9">
        <f>10%*I14</f>
        <v>1260</v>
      </c>
    </row>
    <row r="16" spans="2:11" ht="32" x14ac:dyDescent="0.35">
      <c r="H16" s="2" t="s">
        <v>28</v>
      </c>
      <c r="I16" s="10">
        <f>I14+I15</f>
        <v>13860</v>
      </c>
    </row>
  </sheetData>
  <mergeCells count="4">
    <mergeCell ref="H1:K1"/>
    <mergeCell ref="B9:E9"/>
    <mergeCell ref="H9:I9"/>
    <mergeCell ref="B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Olivera Rudas</dc:creator>
  <cp:lastModifiedBy>Jino Olivera Rudas</cp:lastModifiedBy>
  <dcterms:created xsi:type="dcterms:W3CDTF">2026-01-25T10:14:15Z</dcterms:created>
  <dcterms:modified xsi:type="dcterms:W3CDTF">2026-02-28T04:31:33Z</dcterms:modified>
</cp:coreProperties>
</file>