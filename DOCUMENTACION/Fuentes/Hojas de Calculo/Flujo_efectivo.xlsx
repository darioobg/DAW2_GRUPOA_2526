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W02\Proyectos\"/>
    </mc:Choice>
  </mc:AlternateContent>
  <xr:revisionPtr revIDLastSave="0" documentId="13_ncr:1_{4130BC6D-A707-4B3D-AA54-5F8FE70AB47B}" xr6:coauthVersionLast="47" xr6:coauthVersionMax="47" xr10:uidLastSave="{00000000-0000-0000-0000-000000000000}"/>
  <bookViews>
    <workbookView xWindow="-110" yWindow="-110" windowWidth="19420" windowHeight="9800" activeTab="1" xr2:uid="{00000000-000D-0000-FFFF-FFFF00000000}"/>
  </bookViews>
  <sheets>
    <sheet name="INPUTS" sheetId="4" r:id="rId1"/>
    <sheet name="FLUJO_24_MESES" sheetId="5" r:id="rId2"/>
    <sheet name="FLUJO_2_ANIOS" sheetId="7" r:id="rId3"/>
    <sheet name="Resumen KPI" sheetId="8" r:id="rId4"/>
    <sheet name="KPI final" sheetId="3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3" l="1"/>
  <c r="C9" i="3"/>
  <c r="C7" i="3"/>
  <c r="C8" i="3" s="1"/>
  <c r="E26" i="8"/>
  <c r="D26" i="8"/>
  <c r="E25" i="8"/>
  <c r="D25" i="8"/>
  <c r="E24" i="8"/>
  <c r="D24" i="8"/>
  <c r="E23" i="8"/>
  <c r="D23" i="8"/>
  <c r="E18" i="8"/>
  <c r="B4" i="7"/>
  <c r="B3" i="7"/>
  <c r="C3" i="7"/>
  <c r="C4" i="7"/>
  <c r="B3" i="5"/>
  <c r="C3" i="5"/>
  <c r="B4" i="5"/>
  <c r="B5" i="5" s="1"/>
  <c r="K18" i="5"/>
  <c r="K19" i="5"/>
  <c r="K21" i="5"/>
  <c r="K22" i="5"/>
  <c r="K24" i="5"/>
  <c r="K25" i="5"/>
  <c r="K16" i="5"/>
  <c r="K3" i="5"/>
  <c r="K4" i="5"/>
  <c r="K5" i="5"/>
  <c r="K6" i="5"/>
  <c r="K7" i="5"/>
  <c r="K8" i="5"/>
  <c r="K9" i="5"/>
  <c r="K10" i="5"/>
  <c r="K11" i="5"/>
  <c r="K12" i="5"/>
  <c r="K13" i="5"/>
  <c r="K2" i="5"/>
  <c r="E3" i="7"/>
  <c r="F3" i="7"/>
  <c r="E4" i="7"/>
  <c r="F4" i="7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N2" i="5"/>
  <c r="M3" i="5"/>
  <c r="E3" i="5"/>
  <c r="H5" i="5"/>
  <c r="H6" i="5"/>
  <c r="H7" i="5"/>
  <c r="H8" i="5"/>
  <c r="H9" i="5"/>
  <c r="H10" i="5"/>
  <c r="H11" i="5"/>
  <c r="H12" i="5"/>
  <c r="H13" i="5"/>
  <c r="H14" i="5"/>
  <c r="H15" i="5"/>
  <c r="H4" i="7" s="1"/>
  <c r="H16" i="5"/>
  <c r="H17" i="5"/>
  <c r="H18" i="5"/>
  <c r="H19" i="5"/>
  <c r="H20" i="5"/>
  <c r="H21" i="5"/>
  <c r="H22" i="5"/>
  <c r="H23" i="5"/>
  <c r="H24" i="5"/>
  <c r="H25" i="5"/>
  <c r="H26" i="5"/>
  <c r="H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4" i="5"/>
  <c r="H3" i="5"/>
  <c r="H3" i="7" s="1"/>
  <c r="B6" i="5" l="1"/>
  <c r="C6" i="5" s="1"/>
  <c r="C5" i="5"/>
  <c r="C4" i="5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D3" i="5"/>
  <c r="G3" i="5"/>
  <c r="G4" i="5"/>
  <c r="I3" i="5" l="1"/>
  <c r="G5" i="5"/>
  <c r="I4" i="5" l="1"/>
  <c r="J3" i="5"/>
  <c r="L3" i="5" s="1"/>
  <c r="D4" i="5"/>
  <c r="I5" i="5"/>
  <c r="I6" i="5"/>
  <c r="J4" i="5" l="1"/>
  <c r="N3" i="5"/>
  <c r="G6" i="5"/>
  <c r="D6" i="5"/>
  <c r="D5" i="5"/>
  <c r="J5" i="5" s="1"/>
  <c r="C7" i="5"/>
  <c r="I7" i="5" s="1"/>
  <c r="J6" i="5" l="1"/>
  <c r="L5" i="5"/>
  <c r="G7" i="5"/>
  <c r="D7" i="5"/>
  <c r="C8" i="5"/>
  <c r="I8" i="5" s="1"/>
  <c r="L4" i="5"/>
  <c r="J7" i="5" l="1"/>
  <c r="L7" i="5" s="1"/>
  <c r="L6" i="5"/>
  <c r="C9" i="5"/>
  <c r="G8" i="5"/>
  <c r="D8" i="5"/>
  <c r="J8" i="5" l="1"/>
  <c r="I9" i="5"/>
  <c r="C10" i="5"/>
  <c r="I10" i="5" s="1"/>
  <c r="G9" i="5"/>
  <c r="D9" i="5"/>
  <c r="L8" i="5"/>
  <c r="J9" i="5" l="1"/>
  <c r="L9" i="5" s="1"/>
  <c r="C11" i="5"/>
  <c r="I11" i="5" s="1"/>
  <c r="G10" i="5"/>
  <c r="D10" i="5"/>
  <c r="J10" i="5" l="1"/>
  <c r="L10" i="5" s="1"/>
  <c r="C12" i="5"/>
  <c r="I12" i="5" s="1"/>
  <c r="G11" i="5"/>
  <c r="D11" i="5"/>
  <c r="J11" i="5" l="1"/>
  <c r="L11" i="5" s="1"/>
  <c r="G12" i="5"/>
  <c r="D12" i="5"/>
  <c r="C13" i="5"/>
  <c r="I13" i="5" s="1"/>
  <c r="J12" i="5" l="1"/>
  <c r="L12" i="5" s="1"/>
  <c r="G13" i="5"/>
  <c r="D13" i="5"/>
  <c r="J13" i="5" l="1"/>
  <c r="C14" i="5"/>
  <c r="G14" i="5"/>
  <c r="L13" i="5"/>
  <c r="C15" i="5" l="1"/>
  <c r="I14" i="5"/>
  <c r="I3" i="7" s="1"/>
  <c r="D14" i="5"/>
  <c r="G3" i="7"/>
  <c r="G15" i="5"/>
  <c r="D15" i="5"/>
  <c r="D5" i="8" l="1"/>
  <c r="C16" i="5"/>
  <c r="I16" i="5" s="1"/>
  <c r="J14" i="5"/>
  <c r="K14" i="5" s="1"/>
  <c r="I15" i="5"/>
  <c r="J15" i="5" s="1"/>
  <c r="D3" i="7"/>
  <c r="D4" i="8"/>
  <c r="D6" i="8" s="1"/>
  <c r="D15" i="8" s="1"/>
  <c r="J3" i="7"/>
  <c r="G16" i="5"/>
  <c r="C17" i="5"/>
  <c r="I17" i="5" s="1"/>
  <c r="D16" i="5" l="1"/>
  <c r="J16" i="5"/>
  <c r="L16" i="5" s="1"/>
  <c r="D7" i="8"/>
  <c r="D8" i="8" s="1"/>
  <c r="D16" i="8" s="1"/>
  <c r="L15" i="5"/>
  <c r="K3" i="7"/>
  <c r="L14" i="5"/>
  <c r="L3" i="7" s="1"/>
  <c r="C18" i="5"/>
  <c r="G17" i="5"/>
  <c r="D17" i="5"/>
  <c r="I18" i="5" l="1"/>
  <c r="J17" i="5"/>
  <c r="G18" i="5"/>
  <c r="D18" i="5"/>
  <c r="C19" i="5"/>
  <c r="I19" i="5" s="1"/>
  <c r="J18" i="5" l="1"/>
  <c r="L18" i="5" s="1"/>
  <c r="G19" i="5"/>
  <c r="D19" i="5"/>
  <c r="C20" i="5"/>
  <c r="I20" i="5" s="1"/>
  <c r="J19" i="5" l="1"/>
  <c r="L19" i="5" s="1"/>
  <c r="C21" i="5"/>
  <c r="I21" i="5" s="1"/>
  <c r="G20" i="5"/>
  <c r="D20" i="5"/>
  <c r="K17" i="5" l="1"/>
  <c r="L17" i="5" s="1"/>
  <c r="J20" i="5"/>
  <c r="K20" i="5" s="1"/>
  <c r="G21" i="5"/>
  <c r="D21" i="5"/>
  <c r="C22" i="5"/>
  <c r="I22" i="5" s="1"/>
  <c r="L20" i="5" l="1"/>
  <c r="J21" i="5"/>
  <c r="L21" i="5" s="1"/>
  <c r="G22" i="5"/>
  <c r="D22" i="5"/>
  <c r="C23" i="5"/>
  <c r="I23" i="5" s="1"/>
  <c r="J22" i="5" l="1"/>
  <c r="L22" i="5" s="1"/>
  <c r="C24" i="5"/>
  <c r="I24" i="5" s="1"/>
  <c r="G23" i="5"/>
  <c r="D23" i="5"/>
  <c r="J23" i="5" l="1"/>
  <c r="K23" i="5" s="1"/>
  <c r="G24" i="5"/>
  <c r="D24" i="5"/>
  <c r="C25" i="5"/>
  <c r="I25" i="5" s="1"/>
  <c r="L23" i="5" l="1"/>
  <c r="J24" i="5"/>
  <c r="L24" i="5" s="1"/>
  <c r="G25" i="5"/>
  <c r="D25" i="5"/>
  <c r="C26" i="5"/>
  <c r="J25" i="5" l="1"/>
  <c r="L25" i="5" s="1"/>
  <c r="I26" i="5"/>
  <c r="I4" i="7" s="1"/>
  <c r="G26" i="5"/>
  <c r="D26" i="5"/>
  <c r="J26" i="5" l="1"/>
  <c r="G4" i="7"/>
  <c r="E5" i="8" s="1"/>
  <c r="K26" i="5"/>
  <c r="K4" i="7" s="1"/>
  <c r="E4" i="8"/>
  <c r="E6" i="8" s="1"/>
  <c r="D4" i="7"/>
  <c r="B9" i="7"/>
  <c r="J4" i="7"/>
  <c r="M4" i="5"/>
  <c r="N4" i="5" s="1"/>
  <c r="E7" i="8" l="1"/>
  <c r="E8" i="8" s="1"/>
  <c r="E16" i="8" s="1"/>
  <c r="E15" i="8"/>
  <c r="L26" i="5"/>
  <c r="P8" i="5"/>
  <c r="L4" i="7"/>
  <c r="M5" i="5"/>
  <c r="N5" i="5" s="1"/>
  <c r="M6" i="5" l="1"/>
  <c r="N6" i="5" s="1"/>
  <c r="M7" i="5" l="1"/>
  <c r="N7" i="5" s="1"/>
  <c r="M8" i="5" l="1"/>
  <c r="N8" i="5" s="1"/>
  <c r="M9" i="5" l="1"/>
  <c r="N9" i="5" s="1"/>
  <c r="M10" i="5" l="1"/>
  <c r="N10" i="5" l="1"/>
  <c r="M11" i="5" s="1"/>
  <c r="N11" i="5" s="1"/>
  <c r="M12" i="5" l="1"/>
  <c r="N12" i="5" s="1"/>
  <c r="M13" i="5" l="1"/>
  <c r="N13" i="5" s="1"/>
  <c r="M14" i="5" l="1"/>
  <c r="D9" i="8" s="1"/>
  <c r="D17" i="8" s="1"/>
  <c r="N14" i="5" l="1"/>
  <c r="M15" i="5" s="1"/>
  <c r="N15" i="5" l="1"/>
  <c r="M16" i="5" s="1"/>
  <c r="N16" i="5" l="1"/>
  <c r="M17" i="5" s="1"/>
  <c r="N17" i="5" l="1"/>
  <c r="M18" i="5" s="1"/>
  <c r="N18" i="5" s="1"/>
  <c r="M19" i="5" l="1"/>
  <c r="N19" i="5" s="1"/>
  <c r="M20" i="5" l="1"/>
  <c r="N20" i="5" l="1"/>
  <c r="M21" i="5" s="1"/>
  <c r="N21" i="5" s="1"/>
  <c r="M22" i="5" s="1"/>
  <c r="N22" i="5" l="1"/>
  <c r="M23" i="5" s="1"/>
  <c r="N23" i="5" l="1"/>
  <c r="M24" i="5" s="1"/>
  <c r="N24" i="5" l="1"/>
  <c r="M25" i="5" s="1"/>
  <c r="N25" i="5" l="1"/>
  <c r="M26" i="5" s="1"/>
  <c r="M4" i="7" s="1"/>
  <c r="N26" i="5" l="1"/>
  <c r="B8" i="7" s="1"/>
  <c r="N4" i="7" l="1"/>
  <c r="E9" i="8"/>
  <c r="E17" i="8" s="1"/>
  <c r="P6" i="5"/>
  <c r="P10" i="5" a="1"/>
  <c r="P10" i="5" s="1"/>
  <c r="B10" i="7" s="1"/>
  <c r="N3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<sst xmlns="http://schemas.openxmlformats.org/spreadsheetml/2006/main" count="87" uniqueCount="56">
  <si>
    <t>Mes</t>
  </si>
  <si>
    <t>Flujo Acumulado</t>
  </si>
  <si>
    <t>Precio Premium</t>
  </si>
  <si>
    <t>Comisión Pasarela</t>
  </si>
  <si>
    <t>Conversión Freemium</t>
  </si>
  <si>
    <t>Churn Mensual</t>
  </si>
  <si>
    <t>CAC</t>
  </si>
  <si>
    <t>Inversión Inicial</t>
  </si>
  <si>
    <t>Cargas Sociales</t>
  </si>
  <si>
    <t>Impuesto Sociedades</t>
  </si>
  <si>
    <t>Marketing Base Mes 1</t>
  </si>
  <si>
    <t>Salario Base Mensual</t>
  </si>
  <si>
    <t>Costo AWS Base</t>
  </si>
  <si>
    <t>Usuarios Totales</t>
  </si>
  <si>
    <t>Usuarios Premium</t>
  </si>
  <si>
    <t>Ingresos Netos</t>
  </si>
  <si>
    <t>Marketing</t>
  </si>
  <si>
    <t>Personal</t>
  </si>
  <si>
    <t>AWS</t>
  </si>
  <si>
    <t>Oficina</t>
  </si>
  <si>
    <t>Beneficio Operativo</t>
  </si>
  <si>
    <t>Impuestos</t>
  </si>
  <si>
    <t>Flujo Neto</t>
  </si>
  <si>
    <t>Reinversión</t>
  </si>
  <si>
    <t>ROI acumulado</t>
  </si>
  <si>
    <t>Margen Neto Promedio</t>
  </si>
  <si>
    <t>Punto de equilibrio</t>
  </si>
  <si>
    <t>Periodo</t>
  </si>
  <si>
    <t>Año 1</t>
  </si>
  <si>
    <t>Año 2</t>
  </si>
  <si>
    <t>Indicador</t>
  </si>
  <si>
    <t>Fórmula</t>
  </si>
  <si>
    <t>ROI Acumulado</t>
  </si>
  <si>
    <t>Margen Promedio</t>
  </si>
  <si>
    <t>Punto Equilibrio</t>
  </si>
  <si>
    <t>Flujo de caja basado en modelo SASS</t>
  </si>
  <si>
    <t>Indicadores KPI</t>
  </si>
  <si>
    <t>Gastos Operativos</t>
  </si>
  <si>
    <t>Impuesto (25%)</t>
  </si>
  <si>
    <t>2. Indicadores de Rentabilidad</t>
  </si>
  <si>
    <t>Margen Operativo</t>
  </si>
  <si>
    <t>Margen Neto</t>
  </si>
  <si>
    <t>ROI acumulado (sobre 30.000 €)</t>
  </si>
  <si>
    <t>Punto de Equilibrio</t>
  </si>
  <si>
    <t>1. Resumen Financiero</t>
  </si>
  <si>
    <t>3. Indicadores Operativos Clave</t>
  </si>
  <si>
    <t>CAC (Coste Adquisición Cliente)</t>
  </si>
  <si>
    <t>ARPU Mensual</t>
  </si>
  <si>
    <t>Resultado Final (24 meses)</t>
  </si>
  <si>
    <t>ROI total</t>
  </si>
  <si>
    <t>ROI anualizado</t>
  </si>
  <si>
    <t>Margen promedio</t>
  </si>
  <si>
    <t xml:space="preserve">KPI final del proyecto </t>
  </si>
  <si>
    <t>Incremento Mkt Mensual %</t>
  </si>
  <si>
    <t>Punto de equilibrio operativo</t>
  </si>
  <si>
    <t>Punto equilibrio financiero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</si>
</sst>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9" formatCode="_-* #,##0\ &quot;€&quot;_-;\-* #,##0\ &quot;€&quot;_-;_-* &quot;-&quot;??\ &quot;€&quot;_-;_-@_-"/>
    <numFmt numFmtId="170" formatCode="#,##0.00_ ;\-#,##0.00\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8" fontId="0" fillId="0" borderId="0" xfId="0" applyNumberFormat="1"/>
    <xf numFmtId="0" fontId="1" fillId="0" borderId="0" xfId="0" applyFont="1" applyAlignment="1">
      <alignment wrapText="1"/>
    </xf>
    <xf numFmtId="6" fontId="0" fillId="0" borderId="0" xfId="0" applyNumberFormat="1"/>
    <xf numFmtId="6" fontId="1" fillId="0" borderId="0" xfId="0" applyNumberFormat="1" applyFont="1"/>
    <xf numFmtId="10" fontId="0" fillId="0" borderId="0" xfId="0" applyNumberFormat="1"/>
    <xf numFmtId="10" fontId="1" fillId="0" borderId="0" xfId="0" applyNumberFormat="1" applyFont="1"/>
    <xf numFmtId="2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44" fontId="0" fillId="0" borderId="0" xfId="1" applyFont="1" applyAlignment="1">
      <alignment vertical="center" wrapText="1"/>
    </xf>
    <xf numFmtId="169" fontId="0" fillId="0" borderId="0" xfId="1" applyNumberFormat="1" applyFont="1" applyAlignment="1">
      <alignment vertical="center" wrapText="1"/>
    </xf>
    <xf numFmtId="170" fontId="0" fillId="0" borderId="0" xfId="1" applyNumberFormat="1" applyFont="1" applyAlignment="1">
      <alignment vertical="center" wrapText="1"/>
    </xf>
    <xf numFmtId="0" fontId="6" fillId="0" borderId="0" xfId="0" applyFont="1" applyAlignment="1">
      <alignment vertical="center"/>
    </xf>
    <xf numFmtId="10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"/>
              <a:t>Evolución del Flujo Acumulado (24 meses)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FLUJO_24_MESES!$A$1</c:f>
              <c:strCache>
                <c:ptCount val="1"/>
                <c:pt idx="0">
                  <c:v>Mes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val>
            <c:numRef>
              <c:f>FLUJO_24_MESES!$A$2:$A$26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E-4230-8A48-107ADEFA3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4924079"/>
        <c:axId val="1214927439"/>
      </c:barChart>
      <c:lineChart>
        <c:grouping val="standard"/>
        <c:varyColors val="0"/>
        <c:ser>
          <c:idx val="1"/>
          <c:order val="1"/>
          <c:tx>
            <c:strRef>
              <c:f>FLUJO_24_MESES!$N$1</c:f>
              <c:strCache>
                <c:ptCount val="1"/>
                <c:pt idx="0">
                  <c:v>Flujo 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FLUJO_24_MESES!$N$2:$N$26</c:f>
              <c:numCache>
                <c:formatCode>0.00</c:formatCode>
                <c:ptCount val="25"/>
                <c:pt idx="0">
                  <c:v>-30000</c:v>
                </c:pt>
                <c:pt idx="1">
                  <c:v>-35314.044166666667</c:v>
                </c:pt>
                <c:pt idx="2">
                  <c:v>-39770.388347222222</c:v>
                </c:pt>
                <c:pt idx="3">
                  <c:v>-43371.175596527777</c:v>
                </c:pt>
                <c:pt idx="4">
                  <c:v>-46118.441816701386</c:v>
                </c:pt>
                <c:pt idx="5">
                  <c:v>-48014.121114755209</c:v>
                </c:pt>
                <c:pt idx="6">
                  <c:v>-49060.05089235078</c:v>
                </c:pt>
                <c:pt idx="7">
                  <c:v>-49257.976681066575</c:v>
                </c:pt>
                <c:pt idx="8">
                  <c:v>-48609.556735902137</c:v>
                </c:pt>
                <c:pt idx="9">
                  <c:v>-47116.366399107035</c:v>
                </c:pt>
                <c:pt idx="10">
                  <c:v>-44779.902245818354</c:v>
                </c:pt>
                <c:pt idx="11">
                  <c:v>-41601.586022416326</c:v>
                </c:pt>
                <c:pt idx="12">
                  <c:v>-37582.768387962176</c:v>
                </c:pt>
                <c:pt idx="13">
                  <c:v>-33522.732468564071</c:v>
                </c:pt>
                <c:pt idx="14">
                  <c:v>-28624.697234024759</c:v>
                </c:pt>
                <c:pt idx="15">
                  <c:v>-27817.522703560331</c:v>
                </c:pt>
                <c:pt idx="16">
                  <c:v>-21246.905001610823</c:v>
                </c:pt>
                <c:pt idx="17">
                  <c:v>-13841.591240314345</c:v>
                </c:pt>
                <c:pt idx="18">
                  <c:v>-11156.311384535436</c:v>
                </c:pt>
                <c:pt idx="19">
                  <c:v>-2084.534437187589</c:v>
                </c:pt>
                <c:pt idx="20">
                  <c:v>7819.106440570642</c:v>
                </c:pt>
                <c:pt idx="21">
                  <c:v>10134.101438125665</c:v>
                </c:pt>
                <c:pt idx="22">
                  <c:v>18229.501719593871</c:v>
                </c:pt>
                <c:pt idx="23">
                  <c:v>26905.507014766445</c:v>
                </c:pt>
                <c:pt idx="24">
                  <c:v>29654.730185083376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CE-4230-8A48-107ADEFA3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4924079"/>
        <c:axId val="1214927439"/>
      </c:lineChart>
      <c:catAx>
        <c:axId val="1214924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14927439"/>
        <c:auto val="1"/>
        <c:lblAlgn val="ctr"/>
        <c:lblOffset val="100"/>
        <c:noMultiLvlLbl val="0"/>
      </c:catAx>
      <c:valAx>
        <c:axId val="121492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14924079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250825</xdr:colOff>
      <xdr:row>13</xdr:row>
      <xdr:rowOff>66675</xdr:rowOff>
    </xdr:from>
    <xdr:to>
      <xdr:col>19</xdr:col>
      <xdr:colOff>549275</xdr:colOff>
      <xdr:row>28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0689894-A5D0-C6E5-ACC5-F06D93E70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76ABF-4522-485E-A22E-79E966568069}">
  <dimension ref="A1:M14"/>
  <sheetViews>
    <sheetView workbookViewId="0">
      <selection activeCell="M6" sqref="M6"/>
    </sheetView>
  </sheetViews>
  <sheetFormatPr baseColWidth="10" defaultColWidth="8.7265625" defaultRowHeight="14.5" x14ac:dyDescent="0.35"/>
  <cols>
    <col min="1" max="1" width="12.54296875" customWidth="1"/>
    <col min="2" max="2" width="13.6328125" customWidth="1"/>
    <col min="3" max="3" width="14.7265625" customWidth="1"/>
    <col min="4" max="4" width="13.26953125" customWidth="1"/>
    <col min="5" max="5" width="5.08984375" customWidth="1"/>
    <col min="6" max="6" width="11.6328125" customWidth="1"/>
    <col min="7" max="7" width="14.26953125" bestFit="1" customWidth="1"/>
    <col min="8" max="8" width="14.1796875" customWidth="1"/>
    <col min="9" max="9" width="10.36328125" customWidth="1"/>
    <col min="10" max="10" width="12.36328125" customWidth="1"/>
    <col min="11" max="11" width="13.08984375" customWidth="1"/>
    <col min="12" max="12" width="7" customWidth="1"/>
    <col min="13" max="13" width="10.453125" customWidth="1"/>
  </cols>
  <sheetData>
    <row r="1" spans="1:13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19</v>
      </c>
      <c r="M1" t="s">
        <v>53</v>
      </c>
    </row>
    <row r="2" spans="1:13" x14ac:dyDescent="0.35">
      <c r="A2">
        <v>4.99</v>
      </c>
      <c r="B2">
        <v>0.03</v>
      </c>
      <c r="C2">
        <v>0.1</v>
      </c>
      <c r="D2">
        <v>0.05</v>
      </c>
      <c r="E2">
        <v>9</v>
      </c>
      <c r="F2">
        <v>30000</v>
      </c>
      <c r="G2">
        <v>0.33</v>
      </c>
      <c r="H2">
        <v>0.25</v>
      </c>
      <c r="I2">
        <v>1750</v>
      </c>
      <c r="J2">
        <v>2800</v>
      </c>
      <c r="K2">
        <v>400</v>
      </c>
      <c r="L2">
        <v>300</v>
      </c>
      <c r="M2">
        <v>3.5000000000000003E-2</v>
      </c>
    </row>
    <row r="13" spans="1:13" x14ac:dyDescent="0.35">
      <c r="D13" s="9"/>
    </row>
    <row r="14" spans="1:13" x14ac:dyDescent="0.35">
      <c r="D1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B030-BA29-4F14-A42A-9527E4B99543}">
  <dimension ref="A1:P26"/>
  <sheetViews>
    <sheetView tabSelected="1" workbookViewId="0">
      <selection activeCell="L10" sqref="L10"/>
    </sheetView>
  </sheetViews>
  <sheetFormatPr baseColWidth="10" defaultColWidth="8.7265625" defaultRowHeight="14.5" x14ac:dyDescent="0.35"/>
  <cols>
    <col min="2" max="2" width="15.26953125" bestFit="1" customWidth="1"/>
    <col min="3" max="3" width="16.81640625" bestFit="1" customWidth="1"/>
    <col min="4" max="4" width="13.7265625" bestFit="1" customWidth="1"/>
    <col min="5" max="6" width="11" bestFit="1" customWidth="1"/>
    <col min="7" max="7" width="9.453125" bestFit="1" customWidth="1"/>
    <col min="8" max="8" width="12.7265625" bestFit="1" customWidth="1"/>
    <col min="9" max="9" width="16.7265625" bestFit="1" customWidth="1"/>
    <col min="10" max="10" width="18.1796875" bestFit="1" customWidth="1"/>
    <col min="11" max="11" width="10.1796875" customWidth="1"/>
    <col min="12" max="12" width="12.1796875" bestFit="1" customWidth="1"/>
    <col min="13" max="13" width="12.1796875" customWidth="1"/>
    <col min="14" max="14" width="15.453125" bestFit="1" customWidth="1"/>
    <col min="16" max="16" width="26.26953125" bestFit="1" customWidth="1"/>
  </cols>
  <sheetData>
    <row r="1" spans="1:16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3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1</v>
      </c>
    </row>
    <row r="2" spans="1:16" x14ac:dyDescent="0.35">
      <c r="A2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f>0</f>
        <v>0</v>
      </c>
      <c r="L2" s="8">
        <v>0</v>
      </c>
      <c r="M2" s="8"/>
      <c r="N2" s="8">
        <f>-INPUTS!F2</f>
        <v>-30000</v>
      </c>
    </row>
    <row r="3" spans="1:16" x14ac:dyDescent="0.35">
      <c r="A3">
        <v>1</v>
      </c>
      <c r="B3" s="8">
        <f>(E3/INPUTS!E2)</f>
        <v>204.16666666666666</v>
      </c>
      <c r="C3" s="8">
        <f>B3</f>
        <v>204.16666666666666</v>
      </c>
      <c r="D3" s="8">
        <f>C3*INPUTS!A2*(1-INPUTS!B2)</f>
        <v>988.2279166666666</v>
      </c>
      <c r="E3" s="8">
        <f>INPUTS!I2*(1+A3*5%)</f>
        <v>1837.5</v>
      </c>
      <c r="F3" s="8">
        <f>IF(A3&lt;=12,2800*(1+INPUTS!$G$2),3400*(1+INPUTS!$G$2))</f>
        <v>3724</v>
      </c>
      <c r="G3" s="8">
        <f>INPUTS!$K$2+(B3*0.05)</f>
        <v>410.20833333333331</v>
      </c>
      <c r="H3" s="8">
        <f>INPUTS!L2</f>
        <v>300</v>
      </c>
      <c r="I3" s="8">
        <f>C3*INPUTS!$A$2*INPUTS!$B$2</f>
        <v>30.563749999999999</v>
      </c>
      <c r="J3" s="8">
        <f>D3-E3-F3-G3-H3-I3</f>
        <v>-5314.0441666666666</v>
      </c>
      <c r="K3" s="8">
        <f>0</f>
        <v>0</v>
      </c>
      <c r="L3" s="8">
        <f>J3-K3</f>
        <v>-5314.0441666666666</v>
      </c>
      <c r="M3" s="8">
        <f>IF(N2&gt;0,L3*0.3,0)</f>
        <v>0</v>
      </c>
      <c r="N3" s="8">
        <f>N2+(L3-M3)</f>
        <v>-35314.044166666667</v>
      </c>
    </row>
    <row r="4" spans="1:16" x14ac:dyDescent="0.35">
      <c r="A4">
        <v>2</v>
      </c>
      <c r="B4" s="8">
        <f>(B3*(1-INPUTS!$D$2))+(E4/INPUTS!$E$2)</f>
        <v>407.84722222222223</v>
      </c>
      <c r="C4" s="8">
        <f>B4</f>
        <v>407.84722222222223</v>
      </c>
      <c r="D4" s="8">
        <f>C4*INPUTS!$A$2*(1-INPUTS!$B$2)</f>
        <v>1974.1029097222224</v>
      </c>
      <c r="E4" s="8">
        <f>INPUTS!$I$2*(1+A4*5%)</f>
        <v>1925.0000000000002</v>
      </c>
      <c r="F4" s="8">
        <f>IF(A4&lt;=12,2800*(1+INPUTS!$G$2),3400*(1+INPUTS!$G$2))</f>
        <v>3724</v>
      </c>
      <c r="G4" s="8">
        <f>INPUTS!$K$2+(B4*0.05)</f>
        <v>420.39236111111109</v>
      </c>
      <c r="H4" s="8">
        <f>INPUTS!$L$2</f>
        <v>300</v>
      </c>
      <c r="I4" s="8">
        <f>C4*INPUTS!$A$2*INPUTS!$B$2</f>
        <v>61.054729166666668</v>
      </c>
      <c r="J4" s="8">
        <f t="shared" ref="J4:J26" si="0">D4-E4-F4-G4-H4-I4</f>
        <v>-4456.3441805555549</v>
      </c>
      <c r="K4" s="8">
        <f>0</f>
        <v>0</v>
      </c>
      <c r="L4" s="8">
        <f>J4-K4</f>
        <v>-4456.3441805555549</v>
      </c>
      <c r="M4" s="8">
        <f t="shared" ref="M4:M26" si="1">IF(N3&gt;0,L4*0.3,0)</f>
        <v>0</v>
      </c>
      <c r="N4" s="8">
        <f>N3+(L4-M4)</f>
        <v>-39770.388347222222</v>
      </c>
    </row>
    <row r="5" spans="1:16" x14ac:dyDescent="0.35">
      <c r="A5">
        <v>3</v>
      </c>
      <c r="B5" s="8">
        <f>(B4*(1-INPUTS!$D$2))+(E5/INPUTS!$E$2)</f>
        <v>611.06597222222217</v>
      </c>
      <c r="C5" s="8">
        <f>B5</f>
        <v>611.06597222222217</v>
      </c>
      <c r="D5" s="8">
        <f>C5*INPUTS!$A$2*(1-INPUTS!$B$2)</f>
        <v>2957.7426253472222</v>
      </c>
      <c r="E5" s="8">
        <f>INPUTS!$I$2*(1+A5*5%)</f>
        <v>2012.4999999999998</v>
      </c>
      <c r="F5" s="8">
        <f>IF(A5&lt;=12,2800*(1+INPUTS!$G$2),3400*(1+INPUTS!$G$2))</f>
        <v>3724</v>
      </c>
      <c r="G5" s="8">
        <f>INPUTS!$K$2+(B5*0.05)</f>
        <v>430.55329861111113</v>
      </c>
      <c r="H5" s="8">
        <f>INPUTS!$L$2</f>
        <v>300</v>
      </c>
      <c r="I5" s="8">
        <f>C5*INPUTS!$A$2*INPUTS!$B$2</f>
        <v>91.476576041666661</v>
      </c>
      <c r="J5" s="8">
        <f t="shared" si="0"/>
        <v>-3600.7872493055556</v>
      </c>
      <c r="K5" s="8">
        <f>0</f>
        <v>0</v>
      </c>
      <c r="L5" s="8">
        <f t="shared" ref="L5:L20" si="2">J5-K5</f>
        <v>-3600.7872493055556</v>
      </c>
      <c r="M5" s="8">
        <f t="shared" si="1"/>
        <v>0</v>
      </c>
      <c r="N5" s="8">
        <f t="shared" ref="N5:N26" si="3">N4+(L5-M5)</f>
        <v>-43371.175596527777</v>
      </c>
      <c r="P5" t="s">
        <v>24</v>
      </c>
    </row>
    <row r="6" spans="1:16" x14ac:dyDescent="0.35">
      <c r="A6">
        <v>4</v>
      </c>
      <c r="B6" s="8">
        <f>(B5*(1-INPUTS!$D$2))+(E6/INPUTS!$E$2)</f>
        <v>813.84600694444441</v>
      </c>
      <c r="C6" s="8">
        <f t="shared" ref="C6:C26" si="4">B6</f>
        <v>813.84600694444441</v>
      </c>
      <c r="D6" s="8">
        <f>C6*INPUTS!$A$2*(1-INPUTS!$B$2)</f>
        <v>3939.258827413194</v>
      </c>
      <c r="E6" s="8">
        <f>INPUTS!$I$2*(1+A6*5%)</f>
        <v>2100</v>
      </c>
      <c r="F6" s="8">
        <f>IF(A6&lt;=12,2800*(1+INPUTS!$G$2),3400*(1+INPUTS!$G$2))</f>
        <v>3724</v>
      </c>
      <c r="G6" s="8">
        <f>INPUTS!$K$2+(B6*0.05)</f>
        <v>440.69230034722221</v>
      </c>
      <c r="H6" s="8">
        <f>INPUTS!$L$2</f>
        <v>300</v>
      </c>
      <c r="I6" s="8">
        <f>C6*INPUTS!$A$2*INPUTS!$B$2</f>
        <v>121.83274723958333</v>
      </c>
      <c r="J6" s="8">
        <f t="shared" si="0"/>
        <v>-2747.2662201736111</v>
      </c>
      <c r="K6" s="8">
        <f>0</f>
        <v>0</v>
      </c>
      <c r="L6" s="8">
        <f>J6-K6</f>
        <v>-2747.2662201736111</v>
      </c>
      <c r="M6" s="8">
        <f t="shared" si="1"/>
        <v>0</v>
      </c>
      <c r="N6" s="8">
        <f t="shared" si="3"/>
        <v>-46118.441816701386</v>
      </c>
      <c r="P6" s="6">
        <f>N26/INPUTS!F2</f>
        <v>0.98849100616944585</v>
      </c>
    </row>
    <row r="7" spans="1:16" x14ac:dyDescent="0.35">
      <c r="A7">
        <v>5</v>
      </c>
      <c r="B7" s="8">
        <f>(B6*(1-INPUTS!$D$2))+(E7/INPUTS!$E$2)</f>
        <v>1016.2092621527777</v>
      </c>
      <c r="C7" s="8">
        <f t="shared" si="4"/>
        <v>1016.2092621527777</v>
      </c>
      <c r="D7" s="8">
        <f>C7*INPUTS!$A$2*(1-INPUTS!$B$2)</f>
        <v>4918.7576915980899</v>
      </c>
      <c r="E7" s="8">
        <f>INPUTS!$I$2*(1+A7*5%)</f>
        <v>2187.5</v>
      </c>
      <c r="F7" s="8">
        <f>IF(A7&lt;=12,2800*(1+INPUTS!$G$2),3400*(1+INPUTS!$G$2))</f>
        <v>3724</v>
      </c>
      <c r="G7" s="8">
        <f>INPUTS!$K$2+(B7*0.05)</f>
        <v>450.8104631076389</v>
      </c>
      <c r="H7" s="8">
        <f>INPUTS!$L$2</f>
        <v>300</v>
      </c>
      <c r="I7" s="8">
        <f>C7*INPUTS!$A$2*INPUTS!$B$2</f>
        <v>152.1265265442708</v>
      </c>
      <c r="J7" s="8">
        <f t="shared" si="0"/>
        <v>-1895.6792980538198</v>
      </c>
      <c r="K7" s="8">
        <f>0</f>
        <v>0</v>
      </c>
      <c r="L7" s="8">
        <f t="shared" si="2"/>
        <v>-1895.6792980538198</v>
      </c>
      <c r="M7" s="8">
        <f t="shared" si="1"/>
        <v>0</v>
      </c>
      <c r="N7" s="8">
        <f t="shared" si="3"/>
        <v>-48014.121114755209</v>
      </c>
      <c r="P7" t="s">
        <v>25</v>
      </c>
    </row>
    <row r="8" spans="1:16" x14ac:dyDescent="0.35">
      <c r="A8">
        <v>6</v>
      </c>
      <c r="B8" s="8">
        <f>(B7*(1-INPUTS!$D$2))+(E8/INPUTS!$E$2)</f>
        <v>1218.1765768229166</v>
      </c>
      <c r="C8" s="8">
        <f t="shared" si="4"/>
        <v>1218.1765768229166</v>
      </c>
      <c r="D8" s="8">
        <f>C8*INPUTS!$A$2*(1-INPUTS!$B$2)</f>
        <v>5896.3400847959629</v>
      </c>
      <c r="E8" s="8">
        <f>INPUTS!$I$2*(1+A8*5%)</f>
        <v>2275</v>
      </c>
      <c r="F8" s="8">
        <f>IF(A8&lt;=12,2800*(1+INPUTS!$G$2),3400*(1+INPUTS!$G$2))</f>
        <v>3724</v>
      </c>
      <c r="G8" s="8">
        <f>INPUTS!$K$2+(B8*0.05)</f>
        <v>460.90882884114581</v>
      </c>
      <c r="H8" s="8">
        <f>INPUTS!$L$2</f>
        <v>300</v>
      </c>
      <c r="I8" s="8">
        <f>C8*INPUTS!$A$2*INPUTS!$B$2</f>
        <v>182.3610335503906</v>
      </c>
      <c r="J8" s="8">
        <f t="shared" si="0"/>
        <v>-1045.9297775955736</v>
      </c>
      <c r="K8" s="8">
        <f>0</f>
        <v>0</v>
      </c>
      <c r="L8" s="8">
        <f t="shared" si="2"/>
        <v>-1045.9297775955736</v>
      </c>
      <c r="M8" s="8">
        <f t="shared" si="1"/>
        <v>0</v>
      </c>
      <c r="N8" s="8">
        <f t="shared" si="3"/>
        <v>-49060.05089235078</v>
      </c>
      <c r="P8" s="6">
        <f>AVERAGE(L3:L26)/AVERAGE(D3:D26)</f>
        <v>0.23612051826667174</v>
      </c>
    </row>
    <row r="9" spans="1:16" x14ac:dyDescent="0.35">
      <c r="A9">
        <v>7</v>
      </c>
      <c r="B9" s="8">
        <f>(B8*(1-INPUTS!$D$2))+(E9/INPUTS!$E$2)</f>
        <v>1419.7677479817708</v>
      </c>
      <c r="C9" s="8">
        <f t="shared" si="4"/>
        <v>1419.7677479817708</v>
      </c>
      <c r="D9" s="8">
        <f>C9*INPUTS!$A$2*(1-INPUTS!$B$2)</f>
        <v>6872.1018305561656</v>
      </c>
      <c r="E9" s="8">
        <f>INPUTS!$I$2*(1+A9*5%)</f>
        <v>2362.5</v>
      </c>
      <c r="F9" s="8">
        <f>IF(A9&lt;=12,2800*(1+INPUTS!$G$2),3400*(1+INPUTS!$G$2))</f>
        <v>3724</v>
      </c>
      <c r="G9" s="8">
        <f>INPUTS!$K$2+(B9*0.05)</f>
        <v>470.98838739908854</v>
      </c>
      <c r="H9" s="8">
        <f>INPUTS!$L$2</f>
        <v>300</v>
      </c>
      <c r="I9" s="8">
        <f>C9*INPUTS!$A$2*INPUTS!$B$2</f>
        <v>212.53923187287108</v>
      </c>
      <c r="J9" s="8">
        <f t="shared" si="0"/>
        <v>-197.925788715794</v>
      </c>
      <c r="K9" s="8">
        <f>0</f>
        <v>0</v>
      </c>
      <c r="L9" s="8">
        <f>J9-K9</f>
        <v>-197.925788715794</v>
      </c>
      <c r="M9" s="8">
        <f t="shared" si="1"/>
        <v>0</v>
      </c>
      <c r="N9" s="8">
        <f t="shared" si="3"/>
        <v>-49257.976681066575</v>
      </c>
      <c r="P9" t="s">
        <v>26</v>
      </c>
    </row>
    <row r="10" spans="1:16" x14ac:dyDescent="0.35">
      <c r="A10">
        <v>8</v>
      </c>
      <c r="B10" s="8">
        <f>(B9*(1-INPUTS!$D$2))+(E10/INPUTS!$E$2)</f>
        <v>1621.0015828049043</v>
      </c>
      <c r="C10" s="8">
        <f t="shared" si="4"/>
        <v>1621.0015828049043</v>
      </c>
      <c r="D10" s="8">
        <f>C10*INPUTS!$A$2*(1-INPUTS!$B$2)</f>
        <v>7846.1339612505781</v>
      </c>
      <c r="E10" s="8">
        <f>INPUTS!$I$2*(1+A10*5%)</f>
        <v>2450</v>
      </c>
      <c r="F10" s="8">
        <f>IF(A10&lt;=12,2800*(1+INPUTS!$G$2),3400*(1+INPUTS!$G$2))</f>
        <v>3724</v>
      </c>
      <c r="G10" s="8">
        <f>INPUTS!$K$2+(B10*0.05)</f>
        <v>481.0500791402452</v>
      </c>
      <c r="H10" s="8">
        <f>INPUTS!$L$2</f>
        <v>300</v>
      </c>
      <c r="I10" s="8">
        <f>C10*INPUTS!$A$2*INPUTS!$B$2</f>
        <v>242.66393694589416</v>
      </c>
      <c r="J10" s="8">
        <f t="shared" si="0"/>
        <v>648.41994516443879</v>
      </c>
      <c r="K10" s="8">
        <f>0</f>
        <v>0</v>
      </c>
      <c r="L10" s="8">
        <f t="shared" si="2"/>
        <v>648.41994516443879</v>
      </c>
      <c r="M10" s="8">
        <f t="shared" si="1"/>
        <v>0</v>
      </c>
      <c r="N10" s="8">
        <f t="shared" si="3"/>
        <v>-48609.556735902137</v>
      </c>
      <c r="P10" cm="1">
        <f t="array" ref="P10">MATCH(TRUE,N3:N26&gt;0,0)</f>
        <v>20</v>
      </c>
    </row>
    <row r="11" spans="1:16" x14ac:dyDescent="0.35">
      <c r="A11">
        <v>9</v>
      </c>
      <c r="B11" s="8">
        <f>(B10*(1-INPUTS!$D$2))+(E11/INPUTS!$E$2)</f>
        <v>1821.8959481091033</v>
      </c>
      <c r="C11" s="8">
        <f t="shared" si="4"/>
        <v>1821.8959481091033</v>
      </c>
      <c r="D11" s="8">
        <f>C11*INPUTS!$A$2*(1-INPUTS!$B$2)</f>
        <v>8818.5229576324928</v>
      </c>
      <c r="E11" s="8">
        <f>INPUTS!$I$2*(1+A11*5%)</f>
        <v>2537.5</v>
      </c>
      <c r="F11" s="8">
        <f>IF(A11&lt;=12,2800*(1+INPUTS!$G$2),3400*(1+INPUTS!$G$2))</f>
        <v>3724</v>
      </c>
      <c r="G11" s="8">
        <f>INPUTS!$K$2+(B11*0.05)</f>
        <v>491.09479740545515</v>
      </c>
      <c r="H11" s="8">
        <f>INPUTS!$L$2</f>
        <v>300</v>
      </c>
      <c r="I11" s="8">
        <f>C11*INPUTS!$A$2*INPUTS!$B$2</f>
        <v>272.73782343193278</v>
      </c>
      <c r="J11" s="8">
        <f t="shared" si="0"/>
        <v>1493.1903367951047</v>
      </c>
      <c r="K11" s="8">
        <f>0</f>
        <v>0</v>
      </c>
      <c r="L11" s="8">
        <f t="shared" si="2"/>
        <v>1493.1903367951047</v>
      </c>
      <c r="M11" s="8">
        <f t="shared" si="1"/>
        <v>0</v>
      </c>
      <c r="N11" s="8">
        <f t="shared" si="3"/>
        <v>-47116.366399107035</v>
      </c>
    </row>
    <row r="12" spans="1:16" x14ac:dyDescent="0.35">
      <c r="A12">
        <v>10</v>
      </c>
      <c r="B12" s="8">
        <f>(B11*(1-INPUTS!$D$2))+(E12/INPUTS!$E$2)</f>
        <v>2022.4678173703148</v>
      </c>
      <c r="C12" s="8">
        <f t="shared" si="4"/>
        <v>2022.4678173703148</v>
      </c>
      <c r="D12" s="8">
        <f>C12*INPUTS!$A$2*(1-INPUTS!$B$2)</f>
        <v>9789.3509764175342</v>
      </c>
      <c r="E12" s="8">
        <f>INPUTS!$I$2*(1+A12*5%)</f>
        <v>2625</v>
      </c>
      <c r="F12" s="8">
        <f>IF(A12&lt;=12,2800*(1+INPUTS!$G$2),3400*(1+INPUTS!$G$2))</f>
        <v>3724</v>
      </c>
      <c r="G12" s="8">
        <f>INPUTS!$K$2+(B12*0.05)</f>
        <v>501.12339086851574</v>
      </c>
      <c r="H12" s="8">
        <f>INPUTS!$L$2</f>
        <v>300</v>
      </c>
      <c r="I12" s="8">
        <f>C12*INPUTS!$A$2*INPUTS!$B$2</f>
        <v>302.76343226033612</v>
      </c>
      <c r="J12" s="8">
        <f t="shared" si="0"/>
        <v>2336.4641532886822</v>
      </c>
      <c r="K12" s="8">
        <f>0</f>
        <v>0</v>
      </c>
      <c r="L12" s="8">
        <f t="shared" si="2"/>
        <v>2336.4641532886822</v>
      </c>
      <c r="M12" s="8">
        <f t="shared" si="1"/>
        <v>0</v>
      </c>
      <c r="N12" s="8">
        <f t="shared" si="3"/>
        <v>-44779.902245818354</v>
      </c>
    </row>
    <row r="13" spans="1:16" x14ac:dyDescent="0.35">
      <c r="A13">
        <v>11</v>
      </c>
      <c r="B13" s="8">
        <f>(B12*(1-INPUTS!$D$2))+(E13/INPUTS!$E$2)</f>
        <v>2222.7333153906879</v>
      </c>
      <c r="C13" s="8">
        <f t="shared" si="4"/>
        <v>2222.7333153906879</v>
      </c>
      <c r="D13" s="8">
        <f>C13*INPUTS!$A$2*(1-INPUTS!$B$2)</f>
        <v>10758.696066485547</v>
      </c>
      <c r="E13" s="8">
        <f>INPUTS!$I$2*(1+A13*5%)</f>
        <v>2712.5</v>
      </c>
      <c r="F13" s="8">
        <f>IF(A13&lt;=12,2800*(1+INPUTS!$G$2),3400*(1+INPUTS!$G$2))</f>
        <v>3724</v>
      </c>
      <c r="G13" s="8">
        <f>INPUTS!$K$2+(B13*0.05)</f>
        <v>511.13666576953437</v>
      </c>
      <c r="H13" s="8">
        <f>INPUTS!$L$2</f>
        <v>300</v>
      </c>
      <c r="I13" s="8">
        <f>C13*INPUTS!$A$2*INPUTS!$B$2</f>
        <v>332.743177313986</v>
      </c>
      <c r="J13" s="8">
        <f t="shared" si="0"/>
        <v>3178.3162234020265</v>
      </c>
      <c r="K13" s="8">
        <f>0</f>
        <v>0</v>
      </c>
      <c r="L13" s="8">
        <f t="shared" si="2"/>
        <v>3178.3162234020265</v>
      </c>
      <c r="M13" s="8">
        <f t="shared" si="1"/>
        <v>0</v>
      </c>
      <c r="N13" s="8">
        <f t="shared" si="3"/>
        <v>-41601.586022416326</v>
      </c>
    </row>
    <row r="14" spans="1:16" x14ac:dyDescent="0.35">
      <c r="A14">
        <v>12</v>
      </c>
      <c r="B14" s="8">
        <f>(B13*(1-INPUTS!$D$2))+(E14/INPUTS!$E$2)</f>
        <v>2422.7077607322644</v>
      </c>
      <c r="C14" s="8">
        <f t="shared" si="4"/>
        <v>2422.7077607322644</v>
      </c>
      <c r="D14" s="8">
        <f>C14*INPUTS!$A$2*(1-INPUTS!$B$2)</f>
        <v>11726.63237427238</v>
      </c>
      <c r="E14" s="8">
        <f>INPUTS!$I$2*(1+A14*5%)</f>
        <v>2800</v>
      </c>
      <c r="F14" s="8">
        <f>IF(A14&lt;=12,2800*(1+INPUTS!$G$2),3400*(1+INPUTS!$G$2))</f>
        <v>3724</v>
      </c>
      <c r="G14" s="8">
        <f>INPUTS!$K$2+(B14*0.05)</f>
        <v>521.13538803661322</v>
      </c>
      <c r="H14" s="8">
        <f>INPUTS!$L$2</f>
        <v>300</v>
      </c>
      <c r="I14" s="8">
        <f>C14*INPUTS!$A$2*INPUTS!$B$2</f>
        <v>362.67935178161997</v>
      </c>
      <c r="J14" s="8">
        <f t="shared" si="0"/>
        <v>4018.8176344541466</v>
      </c>
      <c r="K14" s="8">
        <f>IF(SUM(J3:J14)&gt;0,SUM(J3:J14)*INPUTS!$H$2,0)</f>
        <v>0</v>
      </c>
      <c r="L14" s="8">
        <f t="shared" si="2"/>
        <v>4018.8176344541466</v>
      </c>
      <c r="M14" s="8">
        <f t="shared" si="1"/>
        <v>0</v>
      </c>
      <c r="N14" s="8">
        <f t="shared" si="3"/>
        <v>-37582.768387962176</v>
      </c>
    </row>
    <row r="15" spans="1:16" x14ac:dyDescent="0.35">
      <c r="A15">
        <v>13</v>
      </c>
      <c r="B15" s="8">
        <f>(B14*(1-INPUTS!$D$2))+(E15/INPUTS!$E$2)</f>
        <v>2622.4057060289847</v>
      </c>
      <c r="C15" s="8">
        <f t="shared" si="4"/>
        <v>2622.4057060289847</v>
      </c>
      <c r="D15" s="8">
        <f>C15*INPUTS!$A$2*(1-INPUTS!$B$2)</f>
        <v>12693.230338892095</v>
      </c>
      <c r="E15" s="8">
        <f>INPUTS!$I$2*(1+A15*5%)</f>
        <v>2887.5</v>
      </c>
      <c r="F15" s="8">
        <f>IF(A15&lt;=12,2800*(1+INPUTS!$G$2),3400*(1+INPUTS!$G$2))</f>
        <v>4522</v>
      </c>
      <c r="G15" s="8">
        <f>INPUTS!$K$2+(B15*0.05)</f>
        <v>531.12028530144926</v>
      </c>
      <c r="H15" s="8">
        <f>INPUTS!$L$2</f>
        <v>300</v>
      </c>
      <c r="I15" s="8">
        <f>C15*INPUTS!$A$2*INPUTS!$B$2</f>
        <v>392.57413419253902</v>
      </c>
      <c r="J15" s="8">
        <f t="shared" si="0"/>
        <v>4060.0359193981071</v>
      </c>
      <c r="K15" s="8">
        <v>0</v>
      </c>
      <c r="L15" s="8">
        <f t="shared" si="2"/>
        <v>4060.0359193981071</v>
      </c>
      <c r="M15" s="8">
        <f t="shared" si="1"/>
        <v>0</v>
      </c>
      <c r="N15" s="8">
        <f t="shared" si="3"/>
        <v>-33522.732468564071</v>
      </c>
    </row>
    <row r="16" spans="1:16" x14ac:dyDescent="0.35">
      <c r="A16">
        <v>14</v>
      </c>
      <c r="B16" s="8">
        <f>(B15*(1-INPUTS!$D$2))+(E16/INPUTS!$E$2)</f>
        <v>2821.8409762830911</v>
      </c>
      <c r="C16" s="8">
        <f t="shared" si="4"/>
        <v>2821.8409762830911</v>
      </c>
      <c r="D16" s="8">
        <f>C16*INPUTS!$A$2*(1-INPUTS!$B$2)</f>
        <v>13658.556877503046</v>
      </c>
      <c r="E16" s="8">
        <f>INPUTS!$I$2*(1+A16*5%)</f>
        <v>2975.0000000000005</v>
      </c>
      <c r="F16" s="8">
        <f>IF(A16&lt;=12,2800*(1+INPUTS!$G$2),3400*(1+INPUTS!$G$2))</f>
        <v>4522</v>
      </c>
      <c r="G16" s="8">
        <f>INPUTS!$K$2+(B16*0.05)</f>
        <v>541.09204881415462</v>
      </c>
      <c r="H16" s="8">
        <f>INPUTS!$L$2</f>
        <v>300</v>
      </c>
      <c r="I16" s="8">
        <f>C16*INPUTS!$A$2*INPUTS!$B$2</f>
        <v>422.42959414957869</v>
      </c>
      <c r="J16" s="8">
        <f t="shared" si="0"/>
        <v>4898.035234539313</v>
      </c>
      <c r="K16" s="8">
        <f>0</f>
        <v>0</v>
      </c>
      <c r="L16" s="8">
        <f t="shared" si="2"/>
        <v>4898.035234539313</v>
      </c>
      <c r="M16" s="8">
        <f t="shared" si="1"/>
        <v>0</v>
      </c>
      <c r="N16" s="8">
        <f>N15+(L16-M16)</f>
        <v>-28624.697234024759</v>
      </c>
    </row>
    <row r="17" spans="1:14" x14ac:dyDescent="0.35">
      <c r="A17">
        <v>15</v>
      </c>
      <c r="B17" s="8">
        <f>(B16*(1-INPUTS!$D$2))+(E17/INPUTS!$E$2)</f>
        <v>3021.0267052467143</v>
      </c>
      <c r="C17" s="8">
        <f t="shared" si="4"/>
        <v>3021.0267052467143</v>
      </c>
      <c r="D17" s="8">
        <f>C17*INPUTS!$A$2*(1-INPUTS!$B$2)</f>
        <v>14622.675561405671</v>
      </c>
      <c r="E17" s="8">
        <f>INPUTS!$I$2*(1+A17*5%)</f>
        <v>3062.5</v>
      </c>
      <c r="F17" s="8">
        <f>IF(A17&lt;=12,2800*(1+INPUTS!$G$2),3400*(1+INPUTS!$G$2))</f>
        <v>4522</v>
      </c>
      <c r="G17" s="8">
        <f>INPUTS!$K$2+(B17*0.05)</f>
        <v>551.05133526233567</v>
      </c>
      <c r="H17" s="8">
        <f>INPUTS!$L$2</f>
        <v>300</v>
      </c>
      <c r="I17" s="8">
        <f>C17*INPUTS!$A$2*INPUTS!$B$2</f>
        <v>452.24769777543315</v>
      </c>
      <c r="J17" s="8">
        <f t="shared" si="0"/>
        <v>5734.8765283679022</v>
      </c>
      <c r="K17" s="8">
        <f>IF(MOD(A5,3)=0,
   MAX(0,SUM(J17:J19)*INPUTS!$H$2),
   0)</f>
        <v>4927.7019979034721</v>
      </c>
      <c r="L17" s="8">
        <f t="shared" si="2"/>
        <v>807.17453046443006</v>
      </c>
      <c r="M17" s="8">
        <f t="shared" si="1"/>
        <v>0</v>
      </c>
      <c r="N17" s="8">
        <f t="shared" si="3"/>
        <v>-27817.522703560331</v>
      </c>
    </row>
    <row r="18" spans="1:14" x14ac:dyDescent="0.35">
      <c r="A18">
        <v>16</v>
      </c>
      <c r="B18" s="8">
        <f>(B17*(1-INPUTS!$D$2))+(E18/INPUTS!$E$2)</f>
        <v>3219.9753699843786</v>
      </c>
      <c r="C18" s="8">
        <f t="shared" si="4"/>
        <v>3219.9753699843786</v>
      </c>
      <c r="D18" s="8">
        <f>C18*INPUTS!$A$2*(1-INPUTS!$B$2)</f>
        <v>15585.646783335389</v>
      </c>
      <c r="E18" s="8">
        <f>INPUTS!$I$2*(1+A18*5%)</f>
        <v>3150</v>
      </c>
      <c r="F18" s="8">
        <f>IF(A18&lt;=12,2800*(1+INPUTS!$G$2),3400*(1+INPUTS!$G$2))</f>
        <v>4522</v>
      </c>
      <c r="G18" s="8">
        <f>INPUTS!$K$2+(B18*0.05)</f>
        <v>560.99876849921895</v>
      </c>
      <c r="H18" s="8">
        <f>INPUTS!$L$2</f>
        <v>300</v>
      </c>
      <c r="I18" s="8">
        <f>C18*INPUTS!$A$2*INPUTS!$B$2</f>
        <v>482.03031288666148</v>
      </c>
      <c r="J18" s="8">
        <f t="shared" si="0"/>
        <v>6570.617701949508</v>
      </c>
      <c r="K18" s="8">
        <f>0</f>
        <v>0</v>
      </c>
      <c r="L18" s="8">
        <f t="shared" si="2"/>
        <v>6570.617701949508</v>
      </c>
      <c r="M18" s="8">
        <f t="shared" si="1"/>
        <v>0</v>
      </c>
      <c r="N18" s="8">
        <f t="shared" si="3"/>
        <v>-21246.905001610823</v>
      </c>
    </row>
    <row r="19" spans="1:14" x14ac:dyDescent="0.35">
      <c r="A19">
        <v>17</v>
      </c>
      <c r="B19" s="8">
        <f>(B18*(1-INPUTS!$D$2))+(E19/INPUTS!$E$2)</f>
        <v>3418.6988237073815</v>
      </c>
      <c r="C19" s="8">
        <f t="shared" si="4"/>
        <v>3418.6988237073815</v>
      </c>
      <c r="D19" s="8">
        <f>C19*INPUTS!$A$2*(1-INPUTS!$B$2)</f>
        <v>16547.527916390842</v>
      </c>
      <c r="E19" s="8">
        <f>INPUTS!$I$2*(1+A19*5%)</f>
        <v>3237.5</v>
      </c>
      <c r="F19" s="8">
        <f>IF(A19&lt;=12,2800*(1+INPUTS!$G$2),3400*(1+INPUTS!$G$2))</f>
        <v>4522</v>
      </c>
      <c r="G19" s="8">
        <f>INPUTS!$K$2+(B19*0.05)</f>
        <v>570.9349411853691</v>
      </c>
      <c r="H19" s="8">
        <f>INPUTS!$L$2</f>
        <v>300</v>
      </c>
      <c r="I19" s="8">
        <f>C19*INPUTS!$A$2*INPUTS!$B$2</f>
        <v>511.77921390899508</v>
      </c>
      <c r="J19" s="8">
        <f t="shared" si="0"/>
        <v>7405.3137612964774</v>
      </c>
      <c r="K19" s="8">
        <f>0</f>
        <v>0</v>
      </c>
      <c r="L19" s="8">
        <f t="shared" si="2"/>
        <v>7405.3137612964774</v>
      </c>
      <c r="M19" s="8">
        <f t="shared" si="1"/>
        <v>0</v>
      </c>
      <c r="N19" s="8">
        <f t="shared" si="3"/>
        <v>-13841.591240314345</v>
      </c>
    </row>
    <row r="20" spans="1:14" x14ac:dyDescent="0.35">
      <c r="A20">
        <v>18</v>
      </c>
      <c r="B20" s="8">
        <f>(B19*(1-INPUTS!$D$2))+(E20/INPUTS!$E$2)</f>
        <v>3617.2083269664568</v>
      </c>
      <c r="C20" s="8">
        <f t="shared" si="4"/>
        <v>3617.2083269664568</v>
      </c>
      <c r="D20" s="8">
        <f>C20*INPUTS!$A$2*(1-INPUTS!$B$2)</f>
        <v>17508.373465015742</v>
      </c>
      <c r="E20" s="8">
        <f>INPUTS!$I$2*(1+A20*5%)</f>
        <v>3325</v>
      </c>
      <c r="F20" s="8">
        <f>IF(A20&lt;=12,2800*(1+INPUTS!$G$2),3400*(1+INPUTS!$G$2))</f>
        <v>4522</v>
      </c>
      <c r="G20" s="8">
        <f>INPUTS!$K$2+(B20*0.05)</f>
        <v>580.86041634832281</v>
      </c>
      <c r="H20" s="8">
        <f>INPUTS!$L$2</f>
        <v>300</v>
      </c>
      <c r="I20" s="8">
        <f>C20*INPUTS!$A$2*INPUTS!$B$2</f>
        <v>541.49608654687859</v>
      </c>
      <c r="J20" s="8">
        <f t="shared" si="0"/>
        <v>8239.0169621205405</v>
      </c>
      <c r="K20" s="8">
        <f>IF(MOD(A5,3)=0,
   MAX(0,SUM(J18:J20)*INPUTS!$H$2),
   0)</f>
        <v>5553.7371063416322</v>
      </c>
      <c r="L20" s="8">
        <f t="shared" si="2"/>
        <v>2685.2798557789083</v>
      </c>
      <c r="M20" s="8">
        <f t="shared" si="1"/>
        <v>0</v>
      </c>
      <c r="N20" s="8">
        <f t="shared" si="3"/>
        <v>-11156.311384535436</v>
      </c>
    </row>
    <row r="21" spans="1:14" x14ac:dyDescent="0.35">
      <c r="A21">
        <v>19</v>
      </c>
      <c r="B21" s="8">
        <f>(B20*(1-INPUTS!$D$2))+(E21/INPUTS!$E$2)</f>
        <v>3815.5145772848009</v>
      </c>
      <c r="C21" s="8">
        <f t="shared" si="4"/>
        <v>3815.5145772848009</v>
      </c>
      <c r="D21" s="8">
        <f>C21*INPUTS!$A$2*(1-INPUTS!$B$2)</f>
        <v>18468.235208431623</v>
      </c>
      <c r="E21" s="8">
        <f>INPUTS!$I$2*(1+A21*5%)</f>
        <v>3412.5000000000005</v>
      </c>
      <c r="F21" s="8">
        <f>IF(A21&lt;=12,2800*(1+INPUTS!$G$2),3400*(1+INPUTS!$G$2))</f>
        <v>4522</v>
      </c>
      <c r="G21" s="8">
        <f>INPUTS!$K$2+(B21*0.05)</f>
        <v>590.77572886424002</v>
      </c>
      <c r="H21" s="8">
        <f>INPUTS!$L$2</f>
        <v>300</v>
      </c>
      <c r="I21" s="8">
        <f>C21*INPUTS!$A$2*INPUTS!$B$2</f>
        <v>571.18253221953478</v>
      </c>
      <c r="J21" s="8">
        <f t="shared" si="0"/>
        <v>9071.7769473478475</v>
      </c>
      <c r="K21" s="8">
        <f>0</f>
        <v>0</v>
      </c>
      <c r="L21" s="8">
        <f t="shared" ref="L21:L26" si="5">J21-K21</f>
        <v>9071.7769473478475</v>
      </c>
      <c r="M21" s="8">
        <f>IF(N20&gt;0,L21*0.5,0)</f>
        <v>0</v>
      </c>
      <c r="N21" s="8">
        <f t="shared" si="3"/>
        <v>-2084.534437187589</v>
      </c>
    </row>
    <row r="22" spans="1:14" x14ac:dyDescent="0.35">
      <c r="A22">
        <v>20</v>
      </c>
      <c r="B22" s="8">
        <f>(B21*(1-INPUTS!$D$2))+(E22/INPUTS!$E$2)</f>
        <v>4013.6277373094499</v>
      </c>
      <c r="C22" s="8">
        <f t="shared" si="4"/>
        <v>4013.6277373094499</v>
      </c>
      <c r="D22" s="8">
        <f>C22*INPUTS!$A$2*(1-INPUTS!$B$2)</f>
        <v>19427.162336898928</v>
      </c>
      <c r="E22" s="8">
        <f>INPUTS!$I$2*(1+A22*5%)</f>
        <v>3500</v>
      </c>
      <c r="F22" s="8">
        <f>IF(A22&lt;=12,2800*(1+INPUTS!$G$2),3400*(1+INPUTS!$G$2))</f>
        <v>4522</v>
      </c>
      <c r="G22" s="8">
        <f>INPUTS!$K$2+(B22*0.05)</f>
        <v>600.68138686547252</v>
      </c>
      <c r="H22" s="8">
        <f>INPUTS!$L$2</f>
        <v>300</v>
      </c>
      <c r="I22" s="8">
        <f>C22*INPUTS!$A$2*INPUTS!$B$2</f>
        <v>600.84007227522466</v>
      </c>
      <c r="J22" s="8">
        <f t="shared" si="0"/>
        <v>9903.640877758231</v>
      </c>
      <c r="K22" s="8">
        <f>0</f>
        <v>0</v>
      </c>
      <c r="L22" s="8">
        <f t="shared" si="5"/>
        <v>9903.640877758231</v>
      </c>
      <c r="M22" s="8">
        <f t="shared" si="1"/>
        <v>0</v>
      </c>
      <c r="N22" s="8">
        <f t="shared" si="3"/>
        <v>7819.106440570642</v>
      </c>
    </row>
    <row r="23" spans="1:14" x14ac:dyDescent="0.35">
      <c r="A23">
        <v>21</v>
      </c>
      <c r="B23" s="8">
        <f>(B22*(1-INPUTS!$D$2))+(E23/INPUTS!$E$2)</f>
        <v>4211.5574615550886</v>
      </c>
      <c r="C23" s="8">
        <f t="shared" si="4"/>
        <v>4211.5574615550886</v>
      </c>
      <c r="D23" s="8">
        <f>C23*INPUTS!$A$2*(1-INPUTS!$B$2)</f>
        <v>20385.201581165096</v>
      </c>
      <c r="E23" s="8">
        <f>INPUTS!$I$2*(1+A23*5%)</f>
        <v>3587.4999999999995</v>
      </c>
      <c r="F23" s="8">
        <f>IF(A23&lt;=12,2800*(1+INPUTS!$G$2),3400*(1+INPUTS!$G$2))</f>
        <v>4522</v>
      </c>
      <c r="G23" s="8">
        <f>INPUTS!$K$2+(B23*0.05)</f>
        <v>610.57787307775448</v>
      </c>
      <c r="H23" s="8">
        <f>INPUTS!$L$2</f>
        <v>300</v>
      </c>
      <c r="I23" s="8">
        <f>C23*INPUTS!$A$2*INPUTS!$B$2</f>
        <v>630.47015199479677</v>
      </c>
      <c r="J23" s="8">
        <f t="shared" si="0"/>
        <v>10734.653556092544</v>
      </c>
      <c r="K23" s="8">
        <f>IF(MOD(A5,3)=0,
   MAX(0,SUM(J21:J23)*INPUTS!$H$2),
   0)</f>
        <v>7427.5178452996561</v>
      </c>
      <c r="L23" s="8">
        <f t="shared" si="5"/>
        <v>3307.1357107928879</v>
      </c>
      <c r="M23" s="8">
        <f t="shared" si="1"/>
        <v>992.14071323786629</v>
      </c>
      <c r="N23" s="8">
        <f t="shared" si="3"/>
        <v>10134.101438125665</v>
      </c>
    </row>
    <row r="24" spans="1:14" x14ac:dyDescent="0.35">
      <c r="A24">
        <v>22</v>
      </c>
      <c r="B24" s="8">
        <f>(B23*(1-INPUTS!$D$2))+(E24/INPUTS!$E$2)</f>
        <v>4409.3129218106669</v>
      </c>
      <c r="C24" s="8">
        <f t="shared" si="4"/>
        <v>4409.3129218106669</v>
      </c>
      <c r="D24" s="8">
        <f>C24*INPUTS!$A$2*(1-INPUTS!$B$2)</f>
        <v>21342.397335440171</v>
      </c>
      <c r="E24" s="8">
        <f>INPUTS!$I$2*(1+A24*5%)</f>
        <v>3675</v>
      </c>
      <c r="F24" s="8">
        <f>IF(A24&lt;=12,2800*(1+INPUTS!$G$2),3400*(1+INPUTS!$G$2))</f>
        <v>4522</v>
      </c>
      <c r="G24" s="8">
        <f>INPUTS!$K$2+(B24*0.05)</f>
        <v>620.46564609053337</v>
      </c>
      <c r="H24" s="8">
        <f>INPUTS!$L$2</f>
        <v>300</v>
      </c>
      <c r="I24" s="8">
        <f>C24*INPUTS!$A$2*INPUTS!$B$2</f>
        <v>660.07414439505681</v>
      </c>
      <c r="J24" s="8">
        <f t="shared" si="0"/>
        <v>11564.857544954581</v>
      </c>
      <c r="K24" s="8">
        <f>0</f>
        <v>0</v>
      </c>
      <c r="L24" s="8">
        <f t="shared" si="5"/>
        <v>11564.857544954581</v>
      </c>
      <c r="M24" s="8">
        <f t="shared" si="1"/>
        <v>3469.4572634863739</v>
      </c>
      <c r="N24" s="8">
        <f t="shared" si="3"/>
        <v>18229.501719593871</v>
      </c>
    </row>
    <row r="25" spans="1:14" x14ac:dyDescent="0.35">
      <c r="A25">
        <v>23</v>
      </c>
      <c r="B25" s="8">
        <f>(B24*(1-INPUTS!$D$2))+(E25/INPUTS!$E$2)</f>
        <v>4606.9028312756891</v>
      </c>
      <c r="C25" s="8">
        <f t="shared" si="4"/>
        <v>4606.9028312756891</v>
      </c>
      <c r="D25" s="8">
        <f>C25*INPUTS!$A$2*(1-INPUTS!$B$2)</f>
        <v>22298.791774223719</v>
      </c>
      <c r="E25" s="8">
        <f>INPUTS!$I$2*(1+A25*5%)</f>
        <v>3762.5000000000005</v>
      </c>
      <c r="F25" s="8">
        <f>IF(A25&lt;=12,2800*(1+INPUTS!$G$2),3400*(1+INPUTS!$G$2))</f>
        <v>4522</v>
      </c>
      <c r="G25" s="8">
        <f>INPUTS!$K$2+(B25*0.05)</f>
        <v>630.34514156378441</v>
      </c>
      <c r="H25" s="8">
        <f>INPUTS!$L$2</f>
        <v>300</v>
      </c>
      <c r="I25" s="8">
        <f>C25*INPUTS!$A$2*INPUTS!$B$2</f>
        <v>689.65335384197067</v>
      </c>
      <c r="J25" s="8">
        <f t="shared" si="0"/>
        <v>12394.293278817964</v>
      </c>
      <c r="K25" s="8">
        <f>0</f>
        <v>0</v>
      </c>
      <c r="L25" s="8">
        <f>J25-K25</f>
        <v>12394.293278817964</v>
      </c>
      <c r="M25" s="8">
        <f t="shared" si="1"/>
        <v>3718.287983645389</v>
      </c>
      <c r="N25" s="8">
        <f t="shared" si="3"/>
        <v>26905.507014766445</v>
      </c>
    </row>
    <row r="26" spans="1:14" x14ac:dyDescent="0.35">
      <c r="A26">
        <v>24</v>
      </c>
      <c r="B26" s="8">
        <f>(B25*(1-INPUTS!$D$2))+(E26/INPUTS!$E$2)</f>
        <v>4804.3354674896818</v>
      </c>
      <c r="C26" s="8">
        <f t="shared" si="4"/>
        <v>4804.3354674896818</v>
      </c>
      <c r="D26" s="8">
        <f>C26*INPUTS!$A$2*(1-INPUTS!$B$2)</f>
        <v>23254.424963290308</v>
      </c>
      <c r="E26" s="8">
        <f>INPUTS!$I$2*(1+A26*5%)</f>
        <v>3850.0000000000005</v>
      </c>
      <c r="F26" s="8">
        <f>IF(A26&lt;=12,2800*(1+INPUTS!$G$2),3400*(1+INPUTS!$G$2))</f>
        <v>4522</v>
      </c>
      <c r="G26" s="8">
        <f>INPUTS!$K$2+(B26*0.05)</f>
        <v>640.21677337448409</v>
      </c>
      <c r="H26" s="8">
        <f>INPUTS!$L$2</f>
        <v>300</v>
      </c>
      <c r="I26" s="8">
        <f>C26*INPUTS!$A$2*INPUTS!$B$2</f>
        <v>719.20901948320534</v>
      </c>
      <c r="J26" s="8">
        <f t="shared" si="0"/>
        <v>13222.999170432618</v>
      </c>
      <c r="K26" s="8">
        <f>IF(MOD(A5,3)=0,
   MAX(0,SUM(J24:J26)*INPUTS!$H$2),
   0)</f>
        <v>9295.5374985512899</v>
      </c>
      <c r="L26" s="8">
        <f>J26-K26</f>
        <v>3927.4616718813286</v>
      </c>
      <c r="M26" s="8">
        <f t="shared" si="1"/>
        <v>1178.2385015643986</v>
      </c>
      <c r="N26" s="8">
        <f t="shared" si="3"/>
        <v>29654.730185083376</v>
      </c>
    </row>
  </sheetData>
  <pageMargins left="0.7" right="0.7" top="0.75" bottom="0.75" header="0.3" footer="0.3"/>
  <pageSetup paperSize="9" orientation="portrait" r:id="rId1"/>
  <ignoredErrors>
    <ignoredError sqref="C9" evalError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C779-04A7-4AF8-B108-7FBD90149B7A}">
  <dimension ref="A1:N10"/>
  <sheetViews>
    <sheetView workbookViewId="0">
      <selection activeCell="C3" sqref="C3:C4"/>
    </sheetView>
  </sheetViews>
  <sheetFormatPr baseColWidth="10" defaultRowHeight="14.5" x14ac:dyDescent="0.35"/>
  <cols>
    <col min="2" max="2" width="11.36328125" bestFit="1" customWidth="1"/>
    <col min="3" max="3" width="11" bestFit="1" customWidth="1"/>
    <col min="4" max="4" width="12.1796875" bestFit="1" customWidth="1"/>
    <col min="5" max="6" width="11.1796875" bestFit="1" customWidth="1"/>
    <col min="7" max="9" width="11" bestFit="1" customWidth="1"/>
    <col min="10" max="10" width="12.1796875" bestFit="1" customWidth="1"/>
    <col min="11" max="12" width="11.1796875" bestFit="1" customWidth="1"/>
    <col min="13" max="13" width="11" bestFit="1" customWidth="1"/>
    <col min="14" max="14" width="11.1796875" bestFit="1" customWidth="1"/>
  </cols>
  <sheetData>
    <row r="1" spans="1:14" ht="21" x14ac:dyDescent="0.5">
      <c r="A1" s="15" t="s">
        <v>35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29" x14ac:dyDescent="0.35">
      <c r="A2" s="12" t="s">
        <v>27</v>
      </c>
      <c r="B2" s="12" t="s">
        <v>13</v>
      </c>
      <c r="C2" s="12" t="s">
        <v>14</v>
      </c>
      <c r="D2" s="12" t="s">
        <v>15</v>
      </c>
      <c r="E2" s="12" t="s">
        <v>16</v>
      </c>
      <c r="F2" s="12" t="s">
        <v>17</v>
      </c>
      <c r="G2" s="12" t="s">
        <v>18</v>
      </c>
      <c r="H2" s="12" t="s">
        <v>19</v>
      </c>
      <c r="I2" s="12" t="s">
        <v>3</v>
      </c>
      <c r="J2" s="12" t="s">
        <v>20</v>
      </c>
      <c r="K2" s="12" t="s">
        <v>21</v>
      </c>
      <c r="L2" s="12" t="s">
        <v>22</v>
      </c>
      <c r="M2" s="12" t="s">
        <v>23</v>
      </c>
      <c r="N2" s="12" t="s">
        <v>1</v>
      </c>
    </row>
    <row r="3" spans="1:14" x14ac:dyDescent="0.35">
      <c r="A3" s="13" t="s">
        <v>28</v>
      </c>
      <c r="B3" s="19">
        <f>FLUJO_24_MESES!B14*10</f>
        <v>24227.077607322644</v>
      </c>
      <c r="C3" s="19">
        <f>FLUJO_24_MESES!C14</f>
        <v>2422.7077607322644</v>
      </c>
      <c r="D3" s="17">
        <f>SUM(FLUJO_24_MESES!D3:D14)</f>
        <v>76485.868222158053</v>
      </c>
      <c r="E3" s="17">
        <f>SUM(FLUJO_24_MESES!E3:E14)</f>
        <v>27825</v>
      </c>
      <c r="F3" s="17">
        <f>SUM(FLUJO_24_MESES!F3:F14)</f>
        <v>44688</v>
      </c>
      <c r="G3" s="17">
        <f>SUM(FLUJO_24_MESES!G3:G14)</f>
        <v>5590.0942939710139</v>
      </c>
      <c r="H3" s="17">
        <f>SUM(FLUJO_24_MESES!H3:H14)</f>
        <v>3600</v>
      </c>
      <c r="I3" s="17">
        <f>SUM(FLUJO_24_MESES!I3:I14)</f>
        <v>2365.5423161492185</v>
      </c>
      <c r="J3" s="17">
        <f>SUM(FLUJO_24_MESES!J3:J14)</f>
        <v>-7582.76838796218</v>
      </c>
      <c r="K3" s="17">
        <f>SUM(FLUJO_24_MESES!K3:K14)</f>
        <v>0</v>
      </c>
      <c r="L3" s="17">
        <f>SUM(FLUJO_24_MESES!L3:L14)</f>
        <v>-7582.76838796218</v>
      </c>
      <c r="M3" s="17"/>
      <c r="N3" s="17">
        <f ca="1">N3</f>
        <v>0</v>
      </c>
    </row>
    <row r="4" spans="1:14" x14ac:dyDescent="0.35">
      <c r="A4" s="13" t="s">
        <v>29</v>
      </c>
      <c r="B4" s="19">
        <f>FLUJO_24_MESES!B26*10</f>
        <v>48043.354674896822</v>
      </c>
      <c r="C4" s="19">
        <f>FLUJO_24_MESES!C26</f>
        <v>4804.3354674896818</v>
      </c>
      <c r="D4" s="17">
        <f>SUM(FLUJO_24_MESES!D15:D26)</f>
        <v>215792.22414199266</v>
      </c>
      <c r="E4" s="17">
        <f>SUM(FLUJO_24_MESES!E15:E26)</f>
        <v>40425</v>
      </c>
      <c r="F4" s="17">
        <f>SUM(FLUJO_24_MESES!F15:F26)</f>
        <v>54264</v>
      </c>
      <c r="G4" s="17">
        <f>SUM(FLUJO_24_MESES!G15:G26)</f>
        <v>7029.12034524712</v>
      </c>
      <c r="H4" s="17">
        <f>SUM(FLUJO_24_MESES!H15:H26)</f>
        <v>3600</v>
      </c>
      <c r="I4" s="17">
        <f>SUM(FLUJO_24_MESES!I15:I26)</f>
        <v>6673.986313669875</v>
      </c>
      <c r="J4" s="17">
        <f>SUM(FLUJO_24_MESES!J15:J26)</f>
        <v>103800.11748307564</v>
      </c>
      <c r="K4" s="17">
        <f>SUM(FLUJO_24_MESES!K15:K26)</f>
        <v>27204.494448096051</v>
      </c>
      <c r="L4" s="17">
        <f>SUM(FLUJO_24_MESES!L15:L26)</f>
        <v>76595.623034979595</v>
      </c>
      <c r="M4" s="17">
        <f>SUM(FLUJO_24_MESES!M15:M26)</f>
        <v>9358.1244619340287</v>
      </c>
      <c r="N4" s="17">
        <f>FLUJO_24_MESES!N26</f>
        <v>29654.730185083376</v>
      </c>
    </row>
    <row r="5" spans="1:14" x14ac:dyDescent="0.3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29" customHeight="1" x14ac:dyDescent="0.35">
      <c r="A6" s="16" t="s">
        <v>36</v>
      </c>
      <c r="B6" s="16"/>
    </row>
    <row r="7" spans="1:14" x14ac:dyDescent="0.35">
      <c r="A7" s="12" t="s">
        <v>30</v>
      </c>
      <c r="B7" s="12" t="s">
        <v>31</v>
      </c>
    </row>
    <row r="8" spans="1:14" ht="29" x14ac:dyDescent="0.35">
      <c r="A8" s="13" t="s">
        <v>32</v>
      </c>
      <c r="B8" s="6">
        <f>FLUJO_24_MESES!N26/INPUTS!F2</f>
        <v>0.98849100616944585</v>
      </c>
      <c r="L8" s="8"/>
    </row>
    <row r="9" spans="1:14" ht="29" x14ac:dyDescent="0.35">
      <c r="A9" s="13" t="s">
        <v>33</v>
      </c>
      <c r="B9" s="13">
        <f>SUM(FLUJO_24_MESES!J3:J26)/SUM(FLUJO_24_MESES!D3:D26)</f>
        <v>0.32919795088588372</v>
      </c>
    </row>
    <row r="10" spans="1:14" ht="29" x14ac:dyDescent="0.35">
      <c r="A10" s="13" t="s">
        <v>34</v>
      </c>
      <c r="B10" s="13">
        <f>FLUJO_24_MESES!P10</f>
        <v>20</v>
      </c>
    </row>
  </sheetData>
  <mergeCells count="2">
    <mergeCell ref="A6:B6"/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9B0B-5914-4DD1-8EFA-88EA8BBAF3A1}">
  <dimension ref="C2:E26"/>
  <sheetViews>
    <sheetView topLeftCell="A16" workbookViewId="0">
      <selection activeCell="C20" sqref="C20"/>
    </sheetView>
  </sheetViews>
  <sheetFormatPr baseColWidth="10" defaultRowHeight="14.5" x14ac:dyDescent="0.35"/>
  <cols>
    <col min="3" max="3" width="15.36328125" customWidth="1"/>
    <col min="4" max="4" width="21.54296875" customWidth="1"/>
    <col min="5" max="5" width="27.54296875" customWidth="1"/>
  </cols>
  <sheetData>
    <row r="2" spans="3:5" ht="23.5" x14ac:dyDescent="0.35">
      <c r="C2" s="20" t="s">
        <v>44</v>
      </c>
    </row>
    <row r="3" spans="3:5" x14ac:dyDescent="0.35">
      <c r="C3" s="12" t="s">
        <v>30</v>
      </c>
      <c r="D3" s="12" t="s">
        <v>28</v>
      </c>
      <c r="E3" s="12" t="s">
        <v>29</v>
      </c>
    </row>
    <row r="4" spans="3:5" x14ac:dyDescent="0.35">
      <c r="C4" s="13" t="s">
        <v>15</v>
      </c>
      <c r="D4" s="18">
        <f>SUM(FLUJO_24_MESES!D3:D14)</f>
        <v>76485.868222158053</v>
      </c>
      <c r="E4" s="18">
        <f>SUM(FLUJO_24_MESES!D15:D26)</f>
        <v>215792.22414199266</v>
      </c>
    </row>
    <row r="5" spans="3:5" ht="29" x14ac:dyDescent="0.35">
      <c r="C5" s="13" t="s">
        <v>37</v>
      </c>
      <c r="D5" s="18">
        <f>SUM(FLUJO_2_ANIOS!E3:I3)</f>
        <v>84068.636610120229</v>
      </c>
      <c r="E5" s="18">
        <f>SUM(FLUJO_2_ANIOS!E4:I4)</f>
        <v>111992.10665891699</v>
      </c>
    </row>
    <row r="6" spans="3:5" ht="29" x14ac:dyDescent="0.35">
      <c r="C6" s="13" t="s">
        <v>20</v>
      </c>
      <c r="D6" s="18">
        <f>D4-D5</f>
        <v>-7582.7683879621763</v>
      </c>
      <c r="E6" s="18">
        <f>E4-E5</f>
        <v>103800.11748307566</v>
      </c>
    </row>
    <row r="7" spans="3:5" x14ac:dyDescent="0.35">
      <c r="C7" s="13" t="s">
        <v>38</v>
      </c>
      <c r="D7" s="18">
        <f xml:space="preserve"> IF(D6&gt;0, D6*0.25, 0)</f>
        <v>0</v>
      </c>
      <c r="E7" s="18">
        <f xml:space="preserve"> IF(E6&gt;0, E6*0.25, 0)</f>
        <v>25950.029370768916</v>
      </c>
    </row>
    <row r="8" spans="3:5" x14ac:dyDescent="0.35">
      <c r="C8" s="13" t="s">
        <v>22</v>
      </c>
      <c r="D8" s="18">
        <f>D6+D7</f>
        <v>-7582.7683879621763</v>
      </c>
      <c r="E8" s="18">
        <f>E6-E7</f>
        <v>77850.088112306752</v>
      </c>
    </row>
    <row r="9" spans="3:5" x14ac:dyDescent="0.35">
      <c r="C9" s="13" t="s">
        <v>1</v>
      </c>
      <c r="D9" s="18">
        <f>FLUJO_24_MESES!M14</f>
        <v>0</v>
      </c>
      <c r="E9" s="18">
        <f>FLUJO_24_MESES!N26</f>
        <v>29654.730185083376</v>
      </c>
    </row>
    <row r="12" spans="3:5" ht="23.5" x14ac:dyDescent="0.35">
      <c r="C12" s="20" t="s">
        <v>39</v>
      </c>
    </row>
    <row r="14" spans="3:5" x14ac:dyDescent="0.35">
      <c r="C14" s="12" t="s">
        <v>30</v>
      </c>
      <c r="D14" s="12" t="s">
        <v>28</v>
      </c>
      <c r="E14" s="12" t="s">
        <v>29</v>
      </c>
    </row>
    <row r="15" spans="3:5" ht="29" x14ac:dyDescent="0.35">
      <c r="C15" s="13" t="s">
        <v>40</v>
      </c>
      <c r="D15" s="21">
        <f>D6/D4</f>
        <v>-9.9139469345337683E-2</v>
      </c>
      <c r="E15" s="21">
        <f>E6/E4</f>
        <v>0.48101880360051585</v>
      </c>
    </row>
    <row r="16" spans="3:5" x14ac:dyDescent="0.35">
      <c r="C16" s="13" t="s">
        <v>41</v>
      </c>
      <c r="D16" s="21">
        <f>D8/D4</f>
        <v>-9.9139469345337683E-2</v>
      </c>
      <c r="E16" s="21">
        <f>E8/E4</f>
        <v>0.36076410270038689</v>
      </c>
    </row>
    <row r="17" spans="3:5" ht="29" x14ac:dyDescent="0.35">
      <c r="C17" s="13" t="s">
        <v>42</v>
      </c>
      <c r="D17" s="21">
        <f>D9/INPUTS!$F$2</f>
        <v>0</v>
      </c>
      <c r="E17" s="21">
        <f>E9/INPUTS!$F$2</f>
        <v>0.98849100616944585</v>
      </c>
    </row>
    <row r="18" spans="3:5" ht="29" x14ac:dyDescent="0.35">
      <c r="C18" s="13" t="s">
        <v>43</v>
      </c>
      <c r="D18" s="13">
        <v>0</v>
      </c>
      <c r="E18" s="13">
        <f>FLUJO_24_MESES!$P$10</f>
        <v>20</v>
      </c>
    </row>
    <row r="20" spans="3:5" ht="23.5" x14ac:dyDescent="0.35">
      <c r="C20" s="20" t="s">
        <v>45</v>
      </c>
    </row>
    <row r="22" spans="3:5" x14ac:dyDescent="0.35">
      <c r="C22" s="12" t="s">
        <v>30</v>
      </c>
      <c r="D22" s="12" t="s">
        <v>28</v>
      </c>
      <c r="E22" s="12" t="s">
        <v>29</v>
      </c>
    </row>
    <row r="23" spans="3:5" ht="29" x14ac:dyDescent="0.35">
      <c r="C23" s="13" t="s">
        <v>14</v>
      </c>
      <c r="D23" s="22">
        <f>FLUJO_2_ANIOS!C3</f>
        <v>2422.7077607322644</v>
      </c>
      <c r="E23" s="22">
        <f>FLUJO_2_ANIOS!C4</f>
        <v>4804.3354674896818</v>
      </c>
    </row>
    <row r="24" spans="3:5" ht="43.5" x14ac:dyDescent="0.35">
      <c r="C24" s="13" t="s">
        <v>46</v>
      </c>
      <c r="D24" s="23">
        <f>INPUTS!$E$2</f>
        <v>9</v>
      </c>
      <c r="E24" s="23">
        <f>INPUTS!$E$2</f>
        <v>9</v>
      </c>
    </row>
    <row r="25" spans="3:5" x14ac:dyDescent="0.35">
      <c r="C25" s="13" t="s">
        <v>5</v>
      </c>
      <c r="D25" s="24">
        <f>INPUTS!$D$2</f>
        <v>0.05</v>
      </c>
      <c r="E25" s="24">
        <f>INPUTS!$D$2</f>
        <v>0.05</v>
      </c>
    </row>
    <row r="26" spans="3:5" x14ac:dyDescent="0.35">
      <c r="C26" s="13" t="s">
        <v>47</v>
      </c>
      <c r="D26" s="25">
        <f>INPUTS!$A$2</f>
        <v>4.99</v>
      </c>
      <c r="E26" s="25">
        <f>INPUTS!$A$2</f>
        <v>4.99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4154-F8E4-4E6C-B438-550A399A1E2B}">
  <dimension ref="B2:E12"/>
  <sheetViews>
    <sheetView topLeftCell="A2" workbookViewId="0">
      <selection activeCell="B7" sqref="B7:C11"/>
    </sheetView>
  </sheetViews>
  <sheetFormatPr baseColWidth="10" defaultColWidth="8.7265625" defaultRowHeight="14.5" x14ac:dyDescent="0.35"/>
  <cols>
    <col min="2" max="2" width="36.54296875" bestFit="1" customWidth="1"/>
    <col min="3" max="3" width="19.1796875" bestFit="1" customWidth="1"/>
    <col min="4" max="4" width="25.7265625" customWidth="1"/>
    <col min="5" max="5" width="31.81640625" bestFit="1" customWidth="1"/>
  </cols>
  <sheetData>
    <row r="2" spans="2:5" ht="30.75" customHeight="1" x14ac:dyDescent="0.35">
      <c r="B2" s="10"/>
      <c r="C2" s="10"/>
      <c r="D2" s="10"/>
      <c r="E2" s="10"/>
    </row>
    <row r="3" spans="2:5" ht="40.5" customHeight="1" x14ac:dyDescent="0.35">
      <c r="B3" s="11"/>
      <c r="C3" s="11"/>
      <c r="D3" s="11"/>
      <c r="E3" s="11"/>
    </row>
    <row r="4" spans="2:5" ht="23.5" x14ac:dyDescent="0.35">
      <c r="B4" s="20" t="s">
        <v>52</v>
      </c>
      <c r="D4" s="1"/>
      <c r="E4" s="1"/>
    </row>
    <row r="5" spans="2:5" x14ac:dyDescent="0.35">
      <c r="D5" s="4"/>
    </row>
    <row r="6" spans="2:5" ht="29" x14ac:dyDescent="0.35">
      <c r="B6" s="12" t="s">
        <v>30</v>
      </c>
      <c r="C6" s="12" t="s">
        <v>48</v>
      </c>
      <c r="D6" s="4"/>
      <c r="E6" s="1"/>
    </row>
    <row r="7" spans="2:5" x14ac:dyDescent="0.35">
      <c r="B7" s="13" t="s">
        <v>49</v>
      </c>
      <c r="C7" s="21">
        <f>FLUJO_24_MESES!P6</f>
        <v>0.98849100616944585</v>
      </c>
      <c r="D7" s="5"/>
      <c r="E7" s="1"/>
    </row>
    <row r="8" spans="2:5" x14ac:dyDescent="0.35">
      <c r="B8" s="13" t="s">
        <v>50</v>
      </c>
      <c r="C8" s="24">
        <f xml:space="preserve"> (1 + C7)^(1/2) - 1</f>
        <v>0.41013864785326892</v>
      </c>
      <c r="D8" s="6"/>
    </row>
    <row r="9" spans="2:5" x14ac:dyDescent="0.35">
      <c r="B9" s="13" t="s">
        <v>51</v>
      </c>
      <c r="C9" s="21">
        <f>FLUJO_24_MESES!P8</f>
        <v>0.23612051826667174</v>
      </c>
      <c r="D9" s="7"/>
      <c r="E9" s="1"/>
    </row>
    <row r="10" spans="2:5" x14ac:dyDescent="0.35">
      <c r="B10" s="13" t="s">
        <v>54</v>
      </c>
      <c r="C10" s="26">
        <v>8</v>
      </c>
      <c r="D10" s="7"/>
      <c r="E10" s="1"/>
    </row>
    <row r="11" spans="2:5" x14ac:dyDescent="0.35">
      <c r="B11" s="13" t="s">
        <v>55</v>
      </c>
      <c r="C11" s="13">
        <f>FLUJO_24_MESES!P10</f>
        <v>20</v>
      </c>
      <c r="D11" s="2"/>
    </row>
    <row r="12" spans="2:5" x14ac:dyDescent="0.35">
      <c r="B12" s="3"/>
      <c r="C12" s="6"/>
      <c r="D12" s="6"/>
    </row>
  </sheetData>
  <mergeCells count="2">
    <mergeCell ref="B3:E3"/>
    <mergeCell ref="B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INPUTS</vt:lpstr>
      <vt:lpstr>FLUJO_24_MESES</vt:lpstr>
      <vt:lpstr>FLUJO_2_ANIOS</vt:lpstr>
      <vt:lpstr>Resumen KPI</vt:lpstr>
      <vt:lpstr>KPI 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Jino Olivera Rudas</cp:lastModifiedBy>
  <cp:revision/>
  <cp:lastPrinted>2026-02-15T22:20:44Z</cp:lastPrinted>
  <dcterms:created xsi:type="dcterms:W3CDTF">2026-02-14T17:55:39Z</dcterms:created>
  <dcterms:modified xsi:type="dcterms:W3CDTF">2026-02-16T02:55:32Z</dcterms:modified>
  <cp:category/>
  <cp:contentStatus/>
</cp:coreProperties>
</file>